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45657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13</v>
      </c>
      <c r="I2" t="n">
        <v>0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Grönfink
Gulsparv
Havsörn
Rödvingetrast
Rörsångare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45657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Motaggsvamp
Tallticka
Ullticka
Björksplintborre
Bronshjon
Granbarkgnagare
Mindre märgborre
Vågbandad barkbock
Revlummer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24365-2023</t>
        </is>
      </c>
      <c r="B4" s="1" t="n">
        <v>45076</v>
      </c>
      <c r="C4" s="1" t="n">
        <v>45657</v>
      </c>
      <c r="D4" t="inlineStr">
        <is>
          <t>STOCKHOLMS LÄN</t>
        </is>
      </c>
      <c r="E4" t="inlineStr">
        <is>
          <t>HUDDINGE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Björksplintborre
Blåmossa
Jättesvampmal</t>
        </is>
      </c>
      <c r="S4">
        <f>HYPERLINK("https://klasma.github.io/Logging_0126/artfynd/A 24365-2023 artfynd.xlsx", "A 24365-2023")</f>
        <v/>
      </c>
      <c r="T4">
        <f>HYPERLINK("https://klasma.github.io/Logging_0126/kartor/A 24365-2023 karta.png", "A 24365-2023")</f>
        <v/>
      </c>
      <c r="V4">
        <f>HYPERLINK("https://klasma.github.io/Logging_0126/klagomål/A 24365-2023 FSC-klagomål.docx", "A 24365-2023")</f>
        <v/>
      </c>
      <c r="W4">
        <f>HYPERLINK("https://klasma.github.io/Logging_0126/klagomålsmail/A 24365-2023 FSC-klagomål mail.docx", "A 24365-2023")</f>
        <v/>
      </c>
      <c r="X4">
        <f>HYPERLINK("https://klasma.github.io/Logging_0126/tillsyn/A 24365-2023 tillsynsbegäran.docx", "A 24365-2023")</f>
        <v/>
      </c>
      <c r="Y4">
        <f>HYPERLINK("https://klasma.github.io/Logging_0126/tillsynsmail/A 24365-2023 tillsynsbegäran mail.docx", "A 24365-2023")</f>
        <v/>
      </c>
    </row>
    <row r="5" ht="15" customHeight="1">
      <c r="A5" t="inlineStr">
        <is>
          <t>A 49418-2023</t>
        </is>
      </c>
      <c r="B5" s="1" t="n">
        <v>45211</v>
      </c>
      <c r="C5" s="1" t="n">
        <v>45657</v>
      </c>
      <c r="D5" t="inlineStr">
        <is>
          <t>STOCKHOLMS LÄN</t>
        </is>
      </c>
      <c r="E5" t="inlineStr">
        <is>
          <t>HUDDINGE</t>
        </is>
      </c>
      <c r="F5" t="inlineStr">
        <is>
          <t>Kommuner</t>
        </is>
      </c>
      <c r="G5" t="n">
        <v>3.5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Bronshjon
Grovticka
Vedticka
Vågbandad barkbock</t>
        </is>
      </c>
      <c r="S5">
        <f>HYPERLINK("https://klasma.github.io/Logging_0126/artfynd/A 49418-2023 artfynd.xlsx", "A 49418-2023")</f>
        <v/>
      </c>
      <c r="T5">
        <f>HYPERLINK("https://klasma.github.io/Logging_0126/kartor/A 49418-2023 karta.png", "A 49418-2023")</f>
        <v/>
      </c>
      <c r="V5">
        <f>HYPERLINK("https://klasma.github.io/Logging_0126/klagomål/A 49418-2023 FSC-klagomål.docx", "A 49418-2023")</f>
        <v/>
      </c>
      <c r="W5">
        <f>HYPERLINK("https://klasma.github.io/Logging_0126/klagomålsmail/A 49418-2023 FSC-klagomål mail.docx", "A 49418-2023")</f>
        <v/>
      </c>
      <c r="X5">
        <f>HYPERLINK("https://klasma.github.io/Logging_0126/tillsyn/A 49418-2023 tillsynsbegäran.docx", "A 49418-2023")</f>
        <v/>
      </c>
      <c r="Y5">
        <f>HYPERLINK("https://klasma.github.io/Logging_0126/tillsynsmail/A 49418-2023 tillsynsbegäran mail.docx", "A 49418-2023")</f>
        <v/>
      </c>
    </row>
    <row r="6" ht="15" customHeight="1">
      <c r="A6" t="inlineStr">
        <is>
          <t>A 13326-2020</t>
        </is>
      </c>
      <c r="B6" s="1" t="n">
        <v>43894</v>
      </c>
      <c r="C6" s="1" t="n">
        <v>45657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HYPERLINK("https://klasma.github.io/Logging_0126/artfynd/A 13326-2020 artfynd.xlsx", "A 13326-2020")</f>
        <v/>
      </c>
      <c r="T6">
        <f>HYPERLINK("https://klasma.github.io/Logging_0126/kartor/A 13326-2020 karta.png", "A 13326-2020")</f>
        <v/>
      </c>
      <c r="V6">
        <f>HYPERLINK("https://klasma.github.io/Logging_0126/klagomål/A 13326-2020 FSC-klagomål.docx", "A 13326-2020")</f>
        <v/>
      </c>
      <c r="W6">
        <f>HYPERLINK("https://klasma.github.io/Logging_0126/klagomålsmail/A 13326-2020 FSC-klagomål mail.docx", "A 13326-2020")</f>
        <v/>
      </c>
      <c r="X6">
        <f>HYPERLINK("https://klasma.github.io/Logging_0126/tillsyn/A 13326-2020 tillsynsbegäran.docx", "A 13326-2020")</f>
        <v/>
      </c>
      <c r="Y6">
        <f>HYPERLINK("https://klasma.github.io/Logging_0126/tillsynsmail/A 13326-2020 tillsynsbegäran mail.docx", "A 13326-2020")</f>
        <v/>
      </c>
    </row>
    <row r="7" ht="15" customHeight="1">
      <c r="A7" t="inlineStr">
        <is>
          <t>A 24233-2023</t>
        </is>
      </c>
      <c r="B7" s="1" t="n">
        <v>45076</v>
      </c>
      <c r="C7" s="1" t="n">
        <v>45657</v>
      </c>
      <c r="D7" t="inlineStr">
        <is>
          <t>STOCKHOLMS LÄN</t>
        </is>
      </c>
      <c r="E7" t="inlineStr">
        <is>
          <t>HUDDINGE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Svartvit taggsvamp</t>
        </is>
      </c>
      <c r="S7">
        <f>HYPERLINK("https://klasma.github.io/Logging_0126/artfynd/A 24233-2023 artfynd.xlsx", "A 24233-2023")</f>
        <v/>
      </c>
      <c r="T7">
        <f>HYPERLINK("https://klasma.github.io/Logging_0126/kartor/A 24233-2023 karta.png", "A 24233-2023")</f>
        <v/>
      </c>
      <c r="V7">
        <f>HYPERLINK("https://klasma.github.io/Logging_0126/klagomål/A 24233-2023 FSC-klagomål.docx", "A 24233-2023")</f>
        <v/>
      </c>
      <c r="W7">
        <f>HYPERLINK("https://klasma.github.io/Logging_0126/klagomålsmail/A 24233-2023 FSC-klagomål mail.docx", "A 24233-2023")</f>
        <v/>
      </c>
      <c r="X7">
        <f>HYPERLINK("https://klasma.github.io/Logging_0126/tillsyn/A 24233-2023 tillsynsbegäran.docx", "A 24233-2023")</f>
        <v/>
      </c>
      <c r="Y7">
        <f>HYPERLINK("https://klasma.github.io/Logging_0126/tillsynsmail/A 24233-2023 tillsynsbegäran mail.docx", "A 24233-2023")</f>
        <v/>
      </c>
    </row>
    <row r="8" ht="15" customHeight="1">
      <c r="A8" t="inlineStr">
        <is>
          <t>A 24368-2023</t>
        </is>
      </c>
      <c r="B8" s="1" t="n">
        <v>45076</v>
      </c>
      <c r="C8" s="1" t="n">
        <v>45657</v>
      </c>
      <c r="D8" t="inlineStr">
        <is>
          <t>STOCKHOLMS LÄN</t>
        </is>
      </c>
      <c r="E8" t="inlineStr">
        <is>
          <t>HUDDINGE</t>
        </is>
      </c>
      <c r="G8" t="n">
        <v>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Plattlummer</t>
        </is>
      </c>
      <c r="S8">
        <f>HYPERLINK("https://klasma.github.io/Logging_0126/artfynd/A 24368-2023 artfynd.xlsx", "A 24368-2023")</f>
        <v/>
      </c>
      <c r="T8">
        <f>HYPERLINK("https://klasma.github.io/Logging_0126/kartor/A 24368-2023 karta.png", "A 24368-2023")</f>
        <v/>
      </c>
      <c r="V8">
        <f>HYPERLINK("https://klasma.github.io/Logging_0126/klagomål/A 24368-2023 FSC-klagomål.docx", "A 24368-2023")</f>
        <v/>
      </c>
      <c r="W8">
        <f>HYPERLINK("https://klasma.github.io/Logging_0126/klagomålsmail/A 24368-2023 FSC-klagomål mail.docx", "A 24368-2023")</f>
        <v/>
      </c>
      <c r="X8">
        <f>HYPERLINK("https://klasma.github.io/Logging_0126/tillsyn/A 24368-2023 tillsynsbegäran.docx", "A 24368-2023")</f>
        <v/>
      </c>
      <c r="Y8">
        <f>HYPERLINK("https://klasma.github.io/Logging_0126/tillsynsmail/A 24368-2023 tillsynsbegäran mail.docx", "A 24368-2023")</f>
        <v/>
      </c>
    </row>
    <row r="9" ht="15" customHeight="1">
      <c r="A9" t="inlineStr">
        <is>
          <t>A 24384-2023</t>
        </is>
      </c>
      <c r="B9" s="1" t="n">
        <v>45076</v>
      </c>
      <c r="C9" s="1" t="n">
        <v>45657</v>
      </c>
      <c r="D9" t="inlineStr">
        <is>
          <t>STOCKHOLMS LÄN</t>
        </is>
      </c>
      <c r="E9" t="inlineStr">
        <is>
          <t>HUDDINGE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Kolflarnlav</t>
        </is>
      </c>
      <c r="S9">
        <f>HYPERLINK("https://klasma.github.io/Logging_0126/artfynd/A 24384-2023 artfynd.xlsx", "A 24384-2023")</f>
        <v/>
      </c>
      <c r="T9">
        <f>HYPERLINK("https://klasma.github.io/Logging_0126/kartor/A 24384-2023 karta.png", "A 24384-2023")</f>
        <v/>
      </c>
      <c r="V9">
        <f>HYPERLINK("https://klasma.github.io/Logging_0126/klagomål/A 24384-2023 FSC-klagomål.docx", "A 24384-2023")</f>
        <v/>
      </c>
      <c r="W9">
        <f>HYPERLINK("https://klasma.github.io/Logging_0126/klagomålsmail/A 24384-2023 FSC-klagomål mail.docx", "A 24384-2023")</f>
        <v/>
      </c>
      <c r="X9">
        <f>HYPERLINK("https://klasma.github.io/Logging_0126/tillsyn/A 24384-2023 tillsynsbegäran.docx", "A 24384-2023")</f>
        <v/>
      </c>
      <c r="Y9">
        <f>HYPERLINK("https://klasma.github.io/Logging_0126/tillsynsmail/A 24384-2023 tillsynsbegäran mail.docx", "A 24384-2023")</f>
        <v/>
      </c>
    </row>
    <row r="10" ht="15" customHeight="1">
      <c r="A10" t="inlineStr">
        <is>
          <t>A 58260-2020</t>
        </is>
      </c>
      <c r="B10" s="1" t="n">
        <v>44144</v>
      </c>
      <c r="C10" s="1" t="n">
        <v>45657</v>
      </c>
      <c r="D10" t="inlineStr">
        <is>
          <t>STOCKHOLMS LÄN</t>
        </is>
      </c>
      <c r="E10" t="inlineStr">
        <is>
          <t>HUDDINGE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9945-2021</t>
        </is>
      </c>
      <c r="B11" s="1" t="n">
        <v>44253</v>
      </c>
      <c r="C11" s="1" t="n">
        <v>45657</v>
      </c>
      <c r="D11" t="inlineStr">
        <is>
          <t>STOCKHOLMS LÄN</t>
        </is>
      </c>
      <c r="E11" t="inlineStr">
        <is>
          <t>HUDDINGE</t>
        </is>
      </c>
      <c r="F11" t="inlineStr">
        <is>
          <t>Kommuner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31246-2022</t>
        </is>
      </c>
      <c r="B12" s="1" t="n">
        <v>44771</v>
      </c>
      <c r="C12" s="1" t="n">
        <v>45657</v>
      </c>
      <c r="D12" t="inlineStr">
        <is>
          <t>STOCKHOLMS LÄN</t>
        </is>
      </c>
      <c r="E12" t="inlineStr">
        <is>
          <t>HUDDINGE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32508-2022</t>
        </is>
      </c>
      <c r="B13" s="1" t="n">
        <v>44782</v>
      </c>
      <c r="C13" s="1" t="n">
        <v>45657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35404-2022</t>
        </is>
      </c>
      <c r="B14" s="1" t="n">
        <v>44798</v>
      </c>
      <c r="C14" s="1" t="n">
        <v>45657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47173-2022</t>
        </is>
      </c>
      <c r="B15" s="1" t="n">
        <v>44852</v>
      </c>
      <c r="C15" s="1" t="n">
        <v>45657</v>
      </c>
      <c r="D15" t="inlineStr">
        <is>
          <t>STOCKHOLMS LÄN</t>
        </is>
      </c>
      <c r="E15" t="inlineStr">
        <is>
          <t>HUDDINGE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24254-2023</t>
        </is>
      </c>
      <c r="B16" s="1" t="n">
        <v>45076</v>
      </c>
      <c r="C16" s="1" t="n">
        <v>45657</v>
      </c>
      <c r="D16" t="inlineStr">
        <is>
          <t>STOCKHOLMS LÄN</t>
        </is>
      </c>
      <c r="E16" t="inlineStr">
        <is>
          <t>HUDDINGE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24257-2023</t>
        </is>
      </c>
      <c r="B17" s="1" t="n">
        <v>45076</v>
      </c>
      <c r="C17" s="1" t="n">
        <v>45657</v>
      </c>
      <c r="D17" t="inlineStr">
        <is>
          <t>STOCKHOLMS LÄN</t>
        </is>
      </c>
      <c r="E17" t="inlineStr">
        <is>
          <t>HUDDINGE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24363-2023</t>
        </is>
      </c>
      <c r="B18" s="1" t="n">
        <v>45076</v>
      </c>
      <c r="C18" s="1" t="n">
        <v>45657</v>
      </c>
      <c r="D18" t="inlineStr">
        <is>
          <t>STOCKHOLMS LÄN</t>
        </is>
      </c>
      <c r="E18" t="inlineStr">
        <is>
          <t>HUDDINGE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24262-2023</t>
        </is>
      </c>
      <c r="B19" s="1" t="n">
        <v>45076</v>
      </c>
      <c r="C19" s="1" t="n">
        <v>45657</v>
      </c>
      <c r="D19" t="inlineStr">
        <is>
          <t>STOCKHOLMS LÄN</t>
        </is>
      </c>
      <c r="E19" t="inlineStr">
        <is>
          <t>HUDDINGE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45657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49421-2023</t>
        </is>
      </c>
      <c r="B21" s="1" t="n">
        <v>45211</v>
      </c>
      <c r="C21" s="1" t="n">
        <v>45657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17467-2024</t>
        </is>
      </c>
      <c r="B22" s="1" t="n">
        <v>45415</v>
      </c>
      <c r="C22" s="1" t="n">
        <v>45657</v>
      </c>
      <c r="D22" t="inlineStr">
        <is>
          <t>STOCKHOLMS LÄN</t>
        </is>
      </c>
      <c r="E22" t="inlineStr">
        <is>
          <t>HUDDINGE</t>
        </is>
      </c>
      <c r="G22" t="n">
        <v>14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52259-2024</t>
        </is>
      </c>
      <c r="B23" s="1" t="n">
        <v>45608</v>
      </c>
      <c r="C23" s="1" t="n">
        <v>45657</v>
      </c>
      <c r="D23" t="inlineStr">
        <is>
          <t>STOCKHOLMS LÄN</t>
        </is>
      </c>
      <c r="E23" t="inlineStr">
        <is>
          <t>HUDDINGE</t>
        </is>
      </c>
      <c r="F23" t="inlineStr">
        <is>
          <t>Kommuner</t>
        </is>
      </c>
      <c r="G23" t="n">
        <v>11.8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2024-12-31T15:52:56Z</dcterms:created>
  <dcterms:modified xmlns:dcterms="http://purl.org/dc/terms/" xmlns:xsi="http://www.w3.org/2001/XMLSchema-instance" xsi:type="dcterms:W3CDTF">2024-12-31T15:52:56Z</dcterms:modified>
</cp:coreProperties>
</file>