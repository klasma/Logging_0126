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45924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45924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45924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45924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45924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45924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45924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45924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24262-2023</t>
        </is>
      </c>
      <c r="B10" s="1" t="n">
        <v>45076</v>
      </c>
      <c r="C10" s="1" t="n">
        <v>45924</v>
      </c>
      <c r="D10" t="inlineStr">
        <is>
          <t>STOCKHOLMS LÄN</t>
        </is>
      </c>
      <c r="E10" t="inlineStr">
        <is>
          <t>HUDDINGE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HYPERLINK("https://klasma.github.io/Logging_0126/artfynd/A 24262-2023 artfynd.xlsx", "A 24262-2023")</f>
        <v/>
      </c>
      <c r="T10">
        <f>HYPERLINK("https://klasma.github.io/Logging_0126/kartor/A 24262-2023 karta.png", "A 24262-2023")</f>
        <v/>
      </c>
      <c r="V10">
        <f>HYPERLINK("https://klasma.github.io/Logging_0126/klagomål/A 24262-2023 FSC-klagomål.docx", "A 24262-2023")</f>
        <v/>
      </c>
      <c r="W10">
        <f>HYPERLINK("https://klasma.github.io/Logging_0126/klagomålsmail/A 24262-2023 FSC-klagomål mail.docx", "A 24262-2023")</f>
        <v/>
      </c>
      <c r="X10">
        <f>HYPERLINK("https://klasma.github.io/Logging_0126/tillsyn/A 24262-2023 tillsynsbegäran.docx", "A 24262-2023")</f>
        <v/>
      </c>
      <c r="Y10">
        <f>HYPERLINK("https://klasma.github.io/Logging_0126/tillsynsmail/A 24262-2023 tillsynsbegäran mail.docx", "A 24262-2023")</f>
        <v/>
      </c>
    </row>
    <row r="11" ht="15" customHeight="1">
      <c r="A11" t="inlineStr">
        <is>
          <t>A 49421-2023</t>
        </is>
      </c>
      <c r="B11" s="1" t="n">
        <v>45211</v>
      </c>
      <c r="C11" s="1" t="n">
        <v>45924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HYPERLINK("https://klasma.github.io/Logging_0126/artfynd/A 49421-2023 artfynd.xlsx", "A 49421-2023")</f>
        <v/>
      </c>
      <c r="T11">
        <f>HYPERLINK("https://klasma.github.io/Logging_0126/kartor/A 49421-2023 karta.png", "A 49421-2023")</f>
        <v/>
      </c>
      <c r="V11">
        <f>HYPERLINK("https://klasma.github.io/Logging_0126/klagomål/A 49421-2023 FSC-klagomål.docx", "A 49421-2023")</f>
        <v/>
      </c>
      <c r="W11">
        <f>HYPERLINK("https://klasma.github.io/Logging_0126/klagomålsmail/A 49421-2023 FSC-klagomål mail.docx", "A 49421-2023")</f>
        <v/>
      </c>
      <c r="X11">
        <f>HYPERLINK("https://klasma.github.io/Logging_0126/tillsyn/A 49421-2023 tillsynsbegäran.docx", "A 49421-2023")</f>
        <v/>
      </c>
      <c r="Y11">
        <f>HYPERLINK("https://klasma.github.io/Logging_0126/tillsynsmail/A 49421-2023 tillsynsbegäran mail.docx", "A 49421-2023")</f>
        <v/>
      </c>
      <c r="Z11">
        <f>HYPERLINK("https://klasma.github.io/Logging_0126/fåglar/A 49421-2023 prioriterade fågelarter.docx", "A 49421-2023")</f>
        <v/>
      </c>
    </row>
    <row r="12" ht="15" customHeight="1">
      <c r="A12" t="inlineStr">
        <is>
          <t>A 24368-2023</t>
        </is>
      </c>
      <c r="B12" s="1" t="n">
        <v>45076</v>
      </c>
      <c r="C12" s="1" t="n">
        <v>45924</v>
      </c>
      <c r="D12" t="inlineStr">
        <is>
          <t>STOCKHOLMS LÄN</t>
        </is>
      </c>
      <c r="E12" t="inlineStr">
        <is>
          <t>HUDDINGE</t>
        </is>
      </c>
      <c r="G12" t="n">
        <v>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HYPERLINK("https://klasma.github.io/Logging_0126/artfynd/A 24368-2023 artfynd.xlsx", "A 24368-2023")</f>
        <v/>
      </c>
      <c r="T12">
        <f>HYPERLINK("https://klasma.github.io/Logging_0126/kartor/A 24368-2023 karta.png", "A 24368-2023")</f>
        <v/>
      </c>
      <c r="V12">
        <f>HYPERLINK("https://klasma.github.io/Logging_0126/klagomål/A 24368-2023 FSC-klagomål.docx", "A 24368-2023")</f>
        <v/>
      </c>
      <c r="W12">
        <f>HYPERLINK("https://klasma.github.io/Logging_0126/klagomålsmail/A 24368-2023 FSC-klagomål mail.docx", "A 24368-2023")</f>
        <v/>
      </c>
      <c r="X12">
        <f>HYPERLINK("https://klasma.github.io/Logging_0126/tillsyn/A 24368-2023 tillsynsbegäran.docx", "A 24368-2023")</f>
        <v/>
      </c>
      <c r="Y12">
        <f>HYPERLINK("https://klasma.github.io/Logging_0126/tillsynsmail/A 24368-2023 tillsynsbegäran mail.docx", "A 24368-2023")</f>
        <v/>
      </c>
    </row>
    <row r="13" ht="15" customHeight="1">
      <c r="A13" t="inlineStr">
        <is>
          <t>A 24233-2023</t>
        </is>
      </c>
      <c r="B13" s="1" t="n">
        <v>45076</v>
      </c>
      <c r="C13" s="1" t="n">
        <v>45924</v>
      </c>
      <c r="D13" t="inlineStr">
        <is>
          <t>STOCKHOLMS LÄN</t>
        </is>
      </c>
      <c r="E13" t="inlineStr">
        <is>
          <t>HUDDINGE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taggsvamp</t>
        </is>
      </c>
      <c r="S13">
        <f>HYPERLINK("https://klasma.github.io/Logging_0126/artfynd/A 24233-2023 artfynd.xlsx", "A 24233-2023")</f>
        <v/>
      </c>
      <c r="T13">
        <f>HYPERLINK("https://klasma.github.io/Logging_0126/kartor/A 24233-2023 karta.png", "A 24233-2023")</f>
        <v/>
      </c>
      <c r="V13">
        <f>HYPERLINK("https://klasma.github.io/Logging_0126/klagomål/A 24233-2023 FSC-klagomål.docx", "A 24233-2023")</f>
        <v/>
      </c>
      <c r="W13">
        <f>HYPERLINK("https://klasma.github.io/Logging_0126/klagomålsmail/A 24233-2023 FSC-klagomål mail.docx", "A 24233-2023")</f>
        <v/>
      </c>
      <c r="X13">
        <f>HYPERLINK("https://klasma.github.io/Logging_0126/tillsyn/A 24233-2023 tillsynsbegäran.docx", "A 24233-2023")</f>
        <v/>
      </c>
      <c r="Y13">
        <f>HYPERLINK("https://klasma.github.io/Logging_0126/tillsynsmail/A 24233-2023 tillsynsbegäran mail.docx", "A 24233-2023")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45924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45924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45924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45924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27561-2025</t>
        </is>
      </c>
      <c r="B18" s="1" t="n">
        <v>45813.48378472222</v>
      </c>
      <c r="C18" s="1" t="n">
        <v>45924</v>
      </c>
      <c r="D18" t="inlineStr">
        <is>
          <t>STOCKHOLMS LÄN</t>
        </is>
      </c>
      <c r="E18" t="inlineStr">
        <is>
          <t>HUDDINGE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27589-2025</t>
        </is>
      </c>
      <c r="B19" s="1" t="n">
        <v>45813.51070601852</v>
      </c>
      <c r="C19" s="1" t="n">
        <v>45924</v>
      </c>
      <c r="D19" t="inlineStr">
        <is>
          <t>STOCKHOLMS LÄN</t>
        </is>
      </c>
      <c r="E19" t="inlineStr">
        <is>
          <t>HUDDINGE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58260-2020</t>
        </is>
      </c>
      <c r="B20" s="1" t="n">
        <v>44144</v>
      </c>
      <c r="C20" s="1" t="n">
        <v>45924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35404-2022</t>
        </is>
      </c>
      <c r="B21" s="1" t="n">
        <v>44798</v>
      </c>
      <c r="C21" s="1" t="n">
        <v>45924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31246-2022</t>
        </is>
      </c>
      <c r="B22" s="1" t="n">
        <v>44771</v>
      </c>
      <c r="C22" s="1" t="n">
        <v>45924</v>
      </c>
      <c r="D22" t="inlineStr">
        <is>
          <t>STOCKHOLMS LÄN</t>
        </is>
      </c>
      <c r="E22" t="inlineStr">
        <is>
          <t>HUDDINGE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45415.44597222222</v>
      </c>
      <c r="C23" s="1" t="n">
        <v>45924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24363-2023</t>
        </is>
      </c>
      <c r="B24" s="1" t="n">
        <v>45076</v>
      </c>
      <c r="C24" s="1" t="n">
        <v>45924</v>
      </c>
      <c r="D24" t="inlineStr">
        <is>
          <t>STOCKHOLMS LÄN</t>
        </is>
      </c>
      <c r="E24" t="inlineStr">
        <is>
          <t>HUDDINGE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2025-09-24T10:12:06Z</dcterms:created>
  <dcterms:modified xmlns:dcterms="http://purl.org/dc/terms/" xmlns:xsi="http://www.w3.org/2001/XMLSchema-instance" xsi:type="dcterms:W3CDTF">2025-09-24T10:12:07Z</dcterms:modified>
</cp:coreProperties>
</file>