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46134</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46134</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46134</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46134</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46134</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46134</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46134</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491-2026</t>
        </is>
      </c>
      <c r="B9" s="1" t="n">
        <v>46029.42581018519</v>
      </c>
      <c r="C9" s="1" t="n">
        <v>46134</v>
      </c>
      <c r="D9" t="inlineStr">
        <is>
          <t>STOCKHOLMS LÄN</t>
        </is>
      </c>
      <c r="E9" t="inlineStr">
        <is>
          <t>HUDDINGE</t>
        </is>
      </c>
      <c r="G9" t="n">
        <v>3.2</v>
      </c>
      <c r="H9" t="n">
        <v>1</v>
      </c>
      <c r="I9" t="n">
        <v>0</v>
      </c>
      <c r="J9" t="n">
        <v>0</v>
      </c>
      <c r="K9" t="n">
        <v>0</v>
      </c>
      <c r="L9" t="n">
        <v>0</v>
      </c>
      <c r="M9" t="n">
        <v>0</v>
      </c>
      <c r="N9" t="n">
        <v>0</v>
      </c>
      <c r="O9" t="n">
        <v>0</v>
      </c>
      <c r="P9" t="n">
        <v>0</v>
      </c>
      <c r="Q9" t="n">
        <v>1</v>
      </c>
      <c r="R9" s="2" t="inlineStr">
        <is>
          <t>Blåsippa</t>
        </is>
      </c>
      <c r="S9">
        <f>HYPERLINK("https://klasma.github.io/Logging_0126/artfynd/A 491-2026 artfynd.xlsx", "A 491-2026")</f>
        <v/>
      </c>
      <c r="T9">
        <f>HYPERLINK("https://klasma.github.io/Logging_0126/kartor/A 491-2026 karta.png", "A 491-2026")</f>
        <v/>
      </c>
      <c r="V9">
        <f>HYPERLINK("https://klasma.github.io/Logging_0126/klagomål/A 491-2026 FSC-klagomål.docx", "A 491-2026")</f>
        <v/>
      </c>
      <c r="W9">
        <f>HYPERLINK("https://klasma.github.io/Logging_0126/klagomålsmail/A 491-2026 FSC-klagomål mail.docx", "A 491-2026")</f>
        <v/>
      </c>
      <c r="X9">
        <f>HYPERLINK("https://klasma.github.io/Logging_0126/tillsyn/A 491-2026 tillsynsbegäran.docx", "A 491-2026")</f>
        <v/>
      </c>
      <c r="Y9">
        <f>HYPERLINK("https://klasma.github.io/Logging_0126/tillsynsmail/A 491-2026 tillsynsbegäran mail.docx", "A 491-2026")</f>
        <v/>
      </c>
    </row>
    <row r="10" ht="15" customHeight="1">
      <c r="A10" t="inlineStr">
        <is>
          <t>A 24384-2023</t>
        </is>
      </c>
      <c r="B10" s="1" t="n">
        <v>45076</v>
      </c>
      <c r="C10" s="1" t="n">
        <v>46134</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46134</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46134</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46134</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46134</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27589-2025</t>
        </is>
      </c>
      <c r="B15" s="1" t="n">
        <v>45813.51070601852</v>
      </c>
      <c r="C15" s="1" t="n">
        <v>46134</v>
      </c>
      <c r="D15" t="inlineStr">
        <is>
          <t>STOCKHOLMS LÄN</t>
        </is>
      </c>
      <c r="E15" t="inlineStr">
        <is>
          <t>HUDDINGE</t>
        </is>
      </c>
      <c r="G15" t="n">
        <v>2.7</v>
      </c>
      <c r="H15" t="n">
        <v>0</v>
      </c>
      <c r="I15" t="n">
        <v>0</v>
      </c>
      <c r="J15" t="n">
        <v>0</v>
      </c>
      <c r="K15" t="n">
        <v>0</v>
      </c>
      <c r="L15" t="n">
        <v>0</v>
      </c>
      <c r="M15" t="n">
        <v>0</v>
      </c>
      <c r="N15" t="n">
        <v>0</v>
      </c>
      <c r="O15" t="n">
        <v>0</v>
      </c>
      <c r="P15" t="n">
        <v>0</v>
      </c>
      <c r="Q15" t="n">
        <v>0</v>
      </c>
      <c r="R15" s="2" t="inlineStr"/>
    </row>
    <row r="16" ht="15" customHeight="1">
      <c r="A16" t="inlineStr">
        <is>
          <t>A 27561-2025</t>
        </is>
      </c>
      <c r="B16" s="1" t="n">
        <v>45813.48378472222</v>
      </c>
      <c r="C16" s="1" t="n">
        <v>46134</v>
      </c>
      <c r="D16" t="inlineStr">
        <is>
          <t>STOCKHOLMS LÄN</t>
        </is>
      </c>
      <c r="E16" t="inlineStr">
        <is>
          <t>HUDDINGE</t>
        </is>
      </c>
      <c r="G16" t="n">
        <v>0.7</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46134</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24254-2023</t>
        </is>
      </c>
      <c r="B18" s="1" t="n">
        <v>45076</v>
      </c>
      <c r="C18" s="1" t="n">
        <v>46134</v>
      </c>
      <c r="D18" t="inlineStr">
        <is>
          <t>STOCKHOLMS LÄN</t>
        </is>
      </c>
      <c r="E18" t="inlineStr">
        <is>
          <t>HUDDINGE</t>
        </is>
      </c>
      <c r="G18" t="n">
        <v>1.2</v>
      </c>
      <c r="H18" t="n">
        <v>0</v>
      </c>
      <c r="I18" t="n">
        <v>0</v>
      </c>
      <c r="J18" t="n">
        <v>0</v>
      </c>
      <c r="K18" t="n">
        <v>0</v>
      </c>
      <c r="L18" t="n">
        <v>0</v>
      </c>
      <c r="M18" t="n">
        <v>0</v>
      </c>
      <c r="N18" t="n">
        <v>0</v>
      </c>
      <c r="O18" t="n">
        <v>0</v>
      </c>
      <c r="P18" t="n">
        <v>0</v>
      </c>
      <c r="Q18" t="n">
        <v>0</v>
      </c>
      <c r="R18" s="2" t="inlineStr"/>
    </row>
    <row r="19" ht="15" customHeight="1">
      <c r="A19" t="inlineStr">
        <is>
          <t>A 24257-2023</t>
        </is>
      </c>
      <c r="B19" s="1" t="n">
        <v>45076</v>
      </c>
      <c r="C19" s="1" t="n">
        <v>46134</v>
      </c>
      <c r="D19" t="inlineStr">
        <is>
          <t>STOCKHOLMS LÄN</t>
        </is>
      </c>
      <c r="E19" t="inlineStr">
        <is>
          <t>HUDDINGE</t>
        </is>
      </c>
      <c r="G19" t="n">
        <v>1</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46134</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31246-2022</t>
        </is>
      </c>
      <c r="B21" s="1" t="n">
        <v>44771</v>
      </c>
      <c r="C21" s="1" t="n">
        <v>46134</v>
      </c>
      <c r="D21" t="inlineStr">
        <is>
          <t>STOCKHOLMS LÄN</t>
        </is>
      </c>
      <c r="E21" t="inlineStr">
        <is>
          <t>HUDDINGE</t>
        </is>
      </c>
      <c r="G21" t="n">
        <v>4.3</v>
      </c>
      <c r="H21" t="n">
        <v>0</v>
      </c>
      <c r="I21" t="n">
        <v>0</v>
      </c>
      <c r="J21" t="n">
        <v>0</v>
      </c>
      <c r="K21" t="n">
        <v>0</v>
      </c>
      <c r="L21" t="n">
        <v>0</v>
      </c>
      <c r="M21" t="n">
        <v>0</v>
      </c>
      <c r="N21" t="n">
        <v>0</v>
      </c>
      <c r="O21" t="n">
        <v>0</v>
      </c>
      <c r="P21" t="n">
        <v>0</v>
      </c>
      <c r="Q21" t="n">
        <v>0</v>
      </c>
      <c r="R21" s="2" t="inlineStr"/>
    </row>
    <row r="22">
      <c r="A22" t="inlineStr">
        <is>
          <t>A 35404-2022</t>
        </is>
      </c>
      <c r="B22" s="1" t="n">
        <v>44798</v>
      </c>
      <c r="C22" s="1" t="n">
        <v>46134</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2026-04-22T10:45:50Z</dcterms:created>
  <dcterms:modified xmlns:dcterms="http://purl.org/dc/terms/" xmlns:xsi="http://www.w3.org/2001/XMLSchema-instance" xsi:type="dcterms:W3CDTF">2026-04-22T10:45:50Z</dcterms:modified>
</cp:coreProperties>
</file>