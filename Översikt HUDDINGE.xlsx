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46111</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46111</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46111</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46111</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46111</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46111</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49421-2023</t>
        </is>
      </c>
      <c r="B8" s="1" t="n">
        <v>45211</v>
      </c>
      <c r="C8" s="1" t="n">
        <v>46111</v>
      </c>
      <c r="D8" t="inlineStr">
        <is>
          <t>STOCKHOLMS LÄN</t>
        </is>
      </c>
      <c r="E8" t="inlineStr">
        <is>
          <t>HUDDINGE</t>
        </is>
      </c>
      <c r="F8" t="inlineStr">
        <is>
          <t>Kommuner</t>
        </is>
      </c>
      <c r="G8" t="n">
        <v>1.4</v>
      </c>
      <c r="H8" t="n">
        <v>1</v>
      </c>
      <c r="I8" t="n">
        <v>0</v>
      </c>
      <c r="J8" t="n">
        <v>0</v>
      </c>
      <c r="K8" t="n">
        <v>0</v>
      </c>
      <c r="L8" t="n">
        <v>1</v>
      </c>
      <c r="M8" t="n">
        <v>0</v>
      </c>
      <c r="N8" t="n">
        <v>0</v>
      </c>
      <c r="O8" t="n">
        <v>1</v>
      </c>
      <c r="P8" t="n">
        <v>1</v>
      </c>
      <c r="Q8" t="n">
        <v>1</v>
      </c>
      <c r="R8" s="2" t="inlineStr">
        <is>
          <t>Grönfink</t>
        </is>
      </c>
      <c r="S8">
        <f>HYPERLINK("https://klasma.github.io/Logging_0126/artfynd/A 49421-2023 artfynd.xlsx", "A 49421-2023")</f>
        <v/>
      </c>
      <c r="T8">
        <f>HYPERLINK("https://klasma.github.io/Logging_0126/kartor/A 49421-2023 karta.png", "A 49421-2023")</f>
        <v/>
      </c>
      <c r="V8">
        <f>HYPERLINK("https://klasma.github.io/Logging_0126/klagomål/A 49421-2023 FSC-klagomål.docx", "A 49421-2023")</f>
        <v/>
      </c>
      <c r="W8">
        <f>HYPERLINK("https://klasma.github.io/Logging_0126/klagomålsmail/A 49421-2023 FSC-klagomål mail.docx", "A 49421-2023")</f>
        <v/>
      </c>
      <c r="X8">
        <f>HYPERLINK("https://klasma.github.io/Logging_0126/tillsyn/A 49421-2023 tillsynsbegäran.docx", "A 49421-2023")</f>
        <v/>
      </c>
      <c r="Y8">
        <f>HYPERLINK("https://klasma.github.io/Logging_0126/tillsynsmail/A 49421-2023 tillsynsbegäran mail.docx", "A 49421-2023")</f>
        <v/>
      </c>
      <c r="Z8">
        <f>HYPERLINK("https://klasma.github.io/Logging_0126/fåglar/A 49421-2023 prioriterade fågelarter.docx", "A 49421-2023")</f>
        <v/>
      </c>
    </row>
    <row r="9" ht="15" customHeight="1">
      <c r="A9" t="inlineStr">
        <is>
          <t>A 491-2026</t>
        </is>
      </c>
      <c r="B9" s="1" t="n">
        <v>46029.42581018519</v>
      </c>
      <c r="C9" s="1" t="n">
        <v>46111</v>
      </c>
      <c r="D9" t="inlineStr">
        <is>
          <t>STOCKHOLMS LÄN</t>
        </is>
      </c>
      <c r="E9" t="inlineStr">
        <is>
          <t>HUDDINGE</t>
        </is>
      </c>
      <c r="G9" t="n">
        <v>3.2</v>
      </c>
      <c r="H9" t="n">
        <v>1</v>
      </c>
      <c r="I9" t="n">
        <v>0</v>
      </c>
      <c r="J9" t="n">
        <v>0</v>
      </c>
      <c r="K9" t="n">
        <v>0</v>
      </c>
      <c r="L9" t="n">
        <v>0</v>
      </c>
      <c r="M9" t="n">
        <v>0</v>
      </c>
      <c r="N9" t="n">
        <v>0</v>
      </c>
      <c r="O9" t="n">
        <v>0</v>
      </c>
      <c r="P9" t="n">
        <v>0</v>
      </c>
      <c r="Q9" t="n">
        <v>1</v>
      </c>
      <c r="R9" s="2" t="inlineStr">
        <is>
          <t>Blåsippa</t>
        </is>
      </c>
      <c r="S9">
        <f>HYPERLINK("https://klasma.github.io/Logging_0126/artfynd/A 491-2026 artfynd.xlsx", "A 491-2026")</f>
        <v/>
      </c>
      <c r="T9">
        <f>HYPERLINK("https://klasma.github.io/Logging_0126/kartor/A 491-2026 karta.png", "A 491-2026")</f>
        <v/>
      </c>
      <c r="V9">
        <f>HYPERLINK("https://klasma.github.io/Logging_0126/klagomål/A 491-2026 FSC-klagomål.docx", "A 491-2026")</f>
        <v/>
      </c>
      <c r="W9">
        <f>HYPERLINK("https://klasma.github.io/Logging_0126/klagomålsmail/A 491-2026 FSC-klagomål mail.docx", "A 491-2026")</f>
        <v/>
      </c>
      <c r="X9">
        <f>HYPERLINK("https://klasma.github.io/Logging_0126/tillsyn/A 491-2026 tillsynsbegäran.docx", "A 491-2026")</f>
        <v/>
      </c>
      <c r="Y9">
        <f>HYPERLINK("https://klasma.github.io/Logging_0126/tillsynsmail/A 491-2026 tillsynsbegäran mail.docx", "A 491-2026")</f>
        <v/>
      </c>
    </row>
    <row r="10" ht="15" customHeight="1">
      <c r="A10" t="inlineStr">
        <is>
          <t>A 24384-2023</t>
        </is>
      </c>
      <c r="B10" s="1" t="n">
        <v>45076</v>
      </c>
      <c r="C10" s="1" t="n">
        <v>46111</v>
      </c>
      <c r="D10" t="inlineStr">
        <is>
          <t>STOCKHOLMS LÄN</t>
        </is>
      </c>
      <c r="E10" t="inlineStr">
        <is>
          <t>HUDDINGE</t>
        </is>
      </c>
      <c r="G10" t="n">
        <v>1</v>
      </c>
      <c r="H10" t="n">
        <v>0</v>
      </c>
      <c r="I10" t="n">
        <v>0</v>
      </c>
      <c r="J10" t="n">
        <v>1</v>
      </c>
      <c r="K10" t="n">
        <v>0</v>
      </c>
      <c r="L10" t="n">
        <v>0</v>
      </c>
      <c r="M10" t="n">
        <v>0</v>
      </c>
      <c r="N10" t="n">
        <v>0</v>
      </c>
      <c r="O10" t="n">
        <v>1</v>
      </c>
      <c r="P10" t="n">
        <v>0</v>
      </c>
      <c r="Q10" t="n">
        <v>1</v>
      </c>
      <c r="R10" s="2" t="inlineStr">
        <is>
          <t>Kolflarnlav</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row>
    <row r="11" ht="15" customHeight="1">
      <c r="A11" t="inlineStr">
        <is>
          <t>A 24262-2023</t>
        </is>
      </c>
      <c r="B11" s="1" t="n">
        <v>45076</v>
      </c>
      <c r="C11" s="1" t="n">
        <v>46111</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46111</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24233-2023</t>
        </is>
      </c>
      <c r="B13" s="1" t="n">
        <v>45076</v>
      </c>
      <c r="C13" s="1" t="n">
        <v>46111</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46111</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27589-2025</t>
        </is>
      </c>
      <c r="B15" s="1" t="n">
        <v>45813.51070601852</v>
      </c>
      <c r="C15" s="1" t="n">
        <v>46111</v>
      </c>
      <c r="D15" t="inlineStr">
        <is>
          <t>STOCKHOLMS LÄN</t>
        </is>
      </c>
      <c r="E15" t="inlineStr">
        <is>
          <t>HUDDINGE</t>
        </is>
      </c>
      <c r="G15" t="n">
        <v>2.7</v>
      </c>
      <c r="H15" t="n">
        <v>0</v>
      </c>
      <c r="I15" t="n">
        <v>0</v>
      </c>
      <c r="J15" t="n">
        <v>0</v>
      </c>
      <c r="K15" t="n">
        <v>0</v>
      </c>
      <c r="L15" t="n">
        <v>0</v>
      </c>
      <c r="M15" t="n">
        <v>0</v>
      </c>
      <c r="N15" t="n">
        <v>0</v>
      </c>
      <c r="O15" t="n">
        <v>0</v>
      </c>
      <c r="P15" t="n">
        <v>0</v>
      </c>
      <c r="Q15" t="n">
        <v>0</v>
      </c>
      <c r="R15" s="2" t="inlineStr"/>
    </row>
    <row r="16" ht="15" customHeight="1">
      <c r="A16" t="inlineStr">
        <is>
          <t>A 27561-2025</t>
        </is>
      </c>
      <c r="B16" s="1" t="n">
        <v>45813.48378472222</v>
      </c>
      <c r="C16" s="1" t="n">
        <v>46111</v>
      </c>
      <c r="D16" t="inlineStr">
        <is>
          <t>STOCKHOLMS LÄN</t>
        </is>
      </c>
      <c r="E16" t="inlineStr">
        <is>
          <t>HUDDINGE</t>
        </is>
      </c>
      <c r="G16" t="n">
        <v>0.7</v>
      </c>
      <c r="H16" t="n">
        <v>0</v>
      </c>
      <c r="I16" t="n">
        <v>0</v>
      </c>
      <c r="J16" t="n">
        <v>0</v>
      </c>
      <c r="K16" t="n">
        <v>0</v>
      </c>
      <c r="L16" t="n">
        <v>0</v>
      </c>
      <c r="M16" t="n">
        <v>0</v>
      </c>
      <c r="N16" t="n">
        <v>0</v>
      </c>
      <c r="O16" t="n">
        <v>0</v>
      </c>
      <c r="P16" t="n">
        <v>0</v>
      </c>
      <c r="Q16" t="n">
        <v>0</v>
      </c>
      <c r="R16" s="2" t="inlineStr"/>
    </row>
    <row r="17" ht="15" customHeight="1">
      <c r="A17" t="inlineStr">
        <is>
          <t>A 24363-2023</t>
        </is>
      </c>
      <c r="B17" s="1" t="n">
        <v>45076</v>
      </c>
      <c r="C17" s="1" t="n">
        <v>46111</v>
      </c>
      <c r="D17" t="inlineStr">
        <is>
          <t>STOCKHOLMS LÄN</t>
        </is>
      </c>
      <c r="E17" t="inlineStr">
        <is>
          <t>HUDDINGE</t>
        </is>
      </c>
      <c r="G17" t="n">
        <v>2.4</v>
      </c>
      <c r="H17" t="n">
        <v>0</v>
      </c>
      <c r="I17" t="n">
        <v>0</v>
      </c>
      <c r="J17" t="n">
        <v>0</v>
      </c>
      <c r="K17" t="n">
        <v>0</v>
      </c>
      <c r="L17" t="n">
        <v>0</v>
      </c>
      <c r="M17" t="n">
        <v>0</v>
      </c>
      <c r="N17" t="n">
        <v>0</v>
      </c>
      <c r="O17" t="n">
        <v>0</v>
      </c>
      <c r="P17" t="n">
        <v>0</v>
      </c>
      <c r="Q17" t="n">
        <v>0</v>
      </c>
      <c r="R17" s="2" t="inlineStr"/>
    </row>
    <row r="18" ht="15" customHeight="1">
      <c r="A18" t="inlineStr">
        <is>
          <t>A 24254-2023</t>
        </is>
      </c>
      <c r="B18" s="1" t="n">
        <v>45076</v>
      </c>
      <c r="C18" s="1" t="n">
        <v>46111</v>
      </c>
      <c r="D18" t="inlineStr">
        <is>
          <t>STOCKHOLMS LÄN</t>
        </is>
      </c>
      <c r="E18" t="inlineStr">
        <is>
          <t>HUDDINGE</t>
        </is>
      </c>
      <c r="G18" t="n">
        <v>1.2</v>
      </c>
      <c r="H18" t="n">
        <v>0</v>
      </c>
      <c r="I18" t="n">
        <v>0</v>
      </c>
      <c r="J18" t="n">
        <v>0</v>
      </c>
      <c r="K18" t="n">
        <v>0</v>
      </c>
      <c r="L18" t="n">
        <v>0</v>
      </c>
      <c r="M18" t="n">
        <v>0</v>
      </c>
      <c r="N18" t="n">
        <v>0</v>
      </c>
      <c r="O18" t="n">
        <v>0</v>
      </c>
      <c r="P18" t="n">
        <v>0</v>
      </c>
      <c r="Q18" t="n">
        <v>0</v>
      </c>
      <c r="R18" s="2" t="inlineStr"/>
    </row>
    <row r="19" ht="15" customHeight="1">
      <c r="A19" t="inlineStr">
        <is>
          <t>A 24257-2023</t>
        </is>
      </c>
      <c r="B19" s="1" t="n">
        <v>45076</v>
      </c>
      <c r="C19" s="1" t="n">
        <v>46111</v>
      </c>
      <c r="D19" t="inlineStr">
        <is>
          <t>STOCKHOLMS LÄN</t>
        </is>
      </c>
      <c r="E19" t="inlineStr">
        <is>
          <t>HUDDINGE</t>
        </is>
      </c>
      <c r="G19" t="n">
        <v>1</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46111</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31246-2022</t>
        </is>
      </c>
      <c r="B21" s="1" t="n">
        <v>44771</v>
      </c>
      <c r="C21" s="1" t="n">
        <v>46111</v>
      </c>
      <c r="D21" t="inlineStr">
        <is>
          <t>STOCKHOLMS LÄN</t>
        </is>
      </c>
      <c r="E21" t="inlineStr">
        <is>
          <t>HUDDINGE</t>
        </is>
      </c>
      <c r="G21" t="n">
        <v>4.3</v>
      </c>
      <c r="H21" t="n">
        <v>0</v>
      </c>
      <c r="I21" t="n">
        <v>0</v>
      </c>
      <c r="J21" t="n">
        <v>0</v>
      </c>
      <c r="K21" t="n">
        <v>0</v>
      </c>
      <c r="L21" t="n">
        <v>0</v>
      </c>
      <c r="M21" t="n">
        <v>0</v>
      </c>
      <c r="N21" t="n">
        <v>0</v>
      </c>
      <c r="O21" t="n">
        <v>0</v>
      </c>
      <c r="P21" t="n">
        <v>0</v>
      </c>
      <c r="Q21" t="n">
        <v>0</v>
      </c>
      <c r="R21" s="2" t="inlineStr"/>
    </row>
    <row r="22">
      <c r="A22" t="inlineStr">
        <is>
          <t>A 35404-2022</t>
        </is>
      </c>
      <c r="B22" s="1" t="n">
        <v>44798</v>
      </c>
      <c r="C22" s="1" t="n">
        <v>46111</v>
      </c>
      <c r="D22" t="inlineStr">
        <is>
          <t>STOCKHOLMS LÄN</t>
        </is>
      </c>
      <c r="E22" t="inlineStr">
        <is>
          <t>HUDDINGE</t>
        </is>
      </c>
      <c r="F22" t="inlineStr">
        <is>
          <t>Kommuner</t>
        </is>
      </c>
      <c r="G22" t="n">
        <v>1.4</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2026-03-30T10:50:14Z</dcterms:created>
  <dcterms:modified xmlns:dcterms="http://purl.org/dc/terms/" xmlns:xsi="http://www.w3.org/2001/XMLSchema-instance" xsi:type="dcterms:W3CDTF">2026-03-30T10:50:15Z</dcterms:modified>
</cp:coreProperties>
</file>