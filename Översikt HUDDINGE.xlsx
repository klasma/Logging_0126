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45940</v>
      </c>
      <c r="D2" t="inlineStr">
        <is>
          <t>STOCKHOLMS LÄN</t>
        </is>
      </c>
      <c r="E2" t="inlineStr">
        <is>
          <t>HUDDINGE</t>
        </is>
      </c>
      <c r="G2" t="n">
        <v>21.4</v>
      </c>
      <c r="H2" t="n">
        <v>4</v>
      </c>
      <c r="I2" t="n">
        <v>17</v>
      </c>
      <c r="J2" t="n">
        <v>10</v>
      </c>
      <c r="K2" t="n">
        <v>3</v>
      </c>
      <c r="L2" t="n">
        <v>0</v>
      </c>
      <c r="M2" t="n">
        <v>0</v>
      </c>
      <c r="N2" t="n">
        <v>0</v>
      </c>
      <c r="O2" t="n">
        <v>13</v>
      </c>
      <c r="P2" t="n">
        <v>3</v>
      </c>
      <c r="Q2" t="n">
        <v>31</v>
      </c>
      <c r="R2" s="2" t="inlineStr">
        <is>
          <t>Knärot
Rosetticka
Rynkskinn
Brunpudrad nållav
Granticka
Motaggsvamp
Orange taggsvamp
Scharlakansvaxing
Spillkråka
Tallticka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45940</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45940</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52259-2024</t>
        </is>
      </c>
      <c r="B5" s="1" t="n">
        <v>45608.6471875</v>
      </c>
      <c r="C5" s="1" t="n">
        <v>45940</v>
      </c>
      <c r="D5" t="inlineStr">
        <is>
          <t>STOCKHOLMS LÄN</t>
        </is>
      </c>
      <c r="E5" t="inlineStr">
        <is>
          <t>HUDDINGE</t>
        </is>
      </c>
      <c r="F5" t="inlineStr">
        <is>
          <t>Kommuner</t>
        </is>
      </c>
      <c r="G5" t="n">
        <v>11.8</v>
      </c>
      <c r="H5" t="n">
        <v>5</v>
      </c>
      <c r="I5" t="n">
        <v>0</v>
      </c>
      <c r="J5" t="n">
        <v>2</v>
      </c>
      <c r="K5" t="n">
        <v>0</v>
      </c>
      <c r="L5" t="n">
        <v>0</v>
      </c>
      <c r="M5" t="n">
        <v>0</v>
      </c>
      <c r="N5" t="n">
        <v>0</v>
      </c>
      <c r="O5" t="n">
        <v>2</v>
      </c>
      <c r="P5" t="n">
        <v>0</v>
      </c>
      <c r="Q5" t="n">
        <v>5</v>
      </c>
      <c r="R5" s="2" t="inlineStr">
        <is>
          <t>Gulsparv
Svartvit flugsnappare
Dvärgpipistrell
Grönsiska
Större brunfladdermus</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24365-2023</t>
        </is>
      </c>
      <c r="B6" s="1" t="n">
        <v>45076</v>
      </c>
      <c r="C6" s="1" t="n">
        <v>45940</v>
      </c>
      <c r="D6" t="inlineStr">
        <is>
          <t>STOCKHOLMS LÄN</t>
        </is>
      </c>
      <c r="E6" t="inlineStr">
        <is>
          <t>HUDDINGE</t>
        </is>
      </c>
      <c r="G6" t="n">
        <v>0.7</v>
      </c>
      <c r="H6" t="n">
        <v>0</v>
      </c>
      <c r="I6" t="n">
        <v>3</v>
      </c>
      <c r="J6" t="n">
        <v>1</v>
      </c>
      <c r="K6" t="n">
        <v>0</v>
      </c>
      <c r="L6" t="n">
        <v>0</v>
      </c>
      <c r="M6" t="n">
        <v>0</v>
      </c>
      <c r="N6" t="n">
        <v>0</v>
      </c>
      <c r="O6" t="n">
        <v>1</v>
      </c>
      <c r="P6" t="n">
        <v>0</v>
      </c>
      <c r="Q6" t="n">
        <v>4</v>
      </c>
      <c r="R6" s="2" t="inlineStr">
        <is>
          <t>Motaggsvamp
Björksplintborre
Blåmossa
Jättesvampmal</t>
        </is>
      </c>
      <c r="S6">
        <f>HYPERLINK("https://klasma.github.io/Logging_0126/artfynd/A 24365-2023 artfynd.xlsx", "A 24365-2023")</f>
        <v/>
      </c>
      <c r="T6">
        <f>HYPERLINK("https://klasma.github.io/Logging_0126/kartor/A 24365-2023 karta.png", "A 24365-2023")</f>
        <v/>
      </c>
      <c r="V6">
        <f>HYPERLINK("https://klasma.github.io/Logging_0126/klagomål/A 24365-2023 FSC-klagomål.docx", "A 24365-2023")</f>
        <v/>
      </c>
      <c r="W6">
        <f>HYPERLINK("https://klasma.github.io/Logging_0126/klagomålsmail/A 24365-2023 FSC-klagomål mail.docx", "A 24365-2023")</f>
        <v/>
      </c>
      <c r="X6">
        <f>HYPERLINK("https://klasma.github.io/Logging_0126/tillsyn/A 24365-2023 tillsynsbegäran.docx", "A 24365-2023")</f>
        <v/>
      </c>
      <c r="Y6">
        <f>HYPERLINK("https://klasma.github.io/Logging_0126/tillsynsmail/A 24365-2023 tillsynsbegäran mail.docx", "A 24365-2023")</f>
        <v/>
      </c>
    </row>
    <row r="7" ht="15" customHeight="1">
      <c r="A7" t="inlineStr">
        <is>
          <t>A 49419-2023</t>
        </is>
      </c>
      <c r="B7" s="1" t="n">
        <v>45211</v>
      </c>
      <c r="C7" s="1" t="n">
        <v>45940</v>
      </c>
      <c r="D7" t="inlineStr">
        <is>
          <t>STOCKHOLMS LÄN</t>
        </is>
      </c>
      <c r="E7" t="inlineStr">
        <is>
          <t>HUDDINGE</t>
        </is>
      </c>
      <c r="F7" t="inlineStr">
        <is>
          <t>Kommuner</t>
        </is>
      </c>
      <c r="G7" t="n">
        <v>1.9</v>
      </c>
      <c r="H7" t="n">
        <v>2</v>
      </c>
      <c r="I7" t="n">
        <v>0</v>
      </c>
      <c r="J7" t="n">
        <v>1</v>
      </c>
      <c r="K7" t="n">
        <v>0</v>
      </c>
      <c r="L7" t="n">
        <v>1</v>
      </c>
      <c r="M7" t="n">
        <v>0</v>
      </c>
      <c r="N7" t="n">
        <v>0</v>
      </c>
      <c r="O7" t="n">
        <v>2</v>
      </c>
      <c r="P7" t="n">
        <v>1</v>
      </c>
      <c r="Q7" t="n">
        <v>2</v>
      </c>
      <c r="R7" s="2" t="inlineStr">
        <is>
          <t>Grönfink
Ärtsångare</t>
        </is>
      </c>
      <c r="S7">
        <f>HYPERLINK("https://klasma.github.io/Logging_0126/artfynd/A 49419-2023 artfynd.xlsx", "A 49419-2023")</f>
        <v/>
      </c>
      <c r="T7">
        <f>HYPERLINK("https://klasma.github.io/Logging_0126/kartor/A 49419-2023 karta.png", "A 49419-2023")</f>
        <v/>
      </c>
      <c r="V7">
        <f>HYPERLINK("https://klasma.github.io/Logging_0126/klagomål/A 49419-2023 FSC-klagomål.docx", "A 49419-2023")</f>
        <v/>
      </c>
      <c r="W7">
        <f>HYPERLINK("https://klasma.github.io/Logging_0126/klagomålsmail/A 49419-2023 FSC-klagomål mail.docx", "A 49419-2023")</f>
        <v/>
      </c>
      <c r="X7">
        <f>HYPERLINK("https://klasma.github.io/Logging_0126/tillsyn/A 49419-2023 tillsynsbegäran.docx", "A 49419-2023")</f>
        <v/>
      </c>
      <c r="Y7">
        <f>HYPERLINK("https://klasma.github.io/Logging_0126/tillsynsmail/A 49419-2023 tillsynsbegäran mail.docx", "A 49419-2023")</f>
        <v/>
      </c>
      <c r="Z7">
        <f>HYPERLINK("https://klasma.github.io/Logging_0126/fåglar/A 49419-2023 prioriterade fågelarter.docx", "A 49419-2023")</f>
        <v/>
      </c>
    </row>
    <row r="8" ht="15" customHeight="1">
      <c r="A8" t="inlineStr">
        <is>
          <t>A 17467-2024</t>
        </is>
      </c>
      <c r="B8" s="1" t="n">
        <v>45415.44597222222</v>
      </c>
      <c r="C8" s="1" t="n">
        <v>45940</v>
      </c>
      <c r="D8" t="inlineStr">
        <is>
          <t>STOCKHOLMS LÄN</t>
        </is>
      </c>
      <c r="E8" t="inlineStr">
        <is>
          <t>HUDDINGE</t>
        </is>
      </c>
      <c r="G8" t="n">
        <v>14</v>
      </c>
      <c r="H8" t="n">
        <v>1</v>
      </c>
      <c r="I8" t="n">
        <v>0</v>
      </c>
      <c r="J8" t="n">
        <v>1</v>
      </c>
      <c r="K8" t="n">
        <v>1</v>
      </c>
      <c r="L8" t="n">
        <v>0</v>
      </c>
      <c r="M8" t="n">
        <v>0</v>
      </c>
      <c r="N8" t="n">
        <v>0</v>
      </c>
      <c r="O8" t="n">
        <v>2</v>
      </c>
      <c r="P8" t="n">
        <v>1</v>
      </c>
      <c r="Q8" t="n">
        <v>2</v>
      </c>
      <c r="R8" s="2" t="inlineStr">
        <is>
          <t>Knärot
Motaggsvamp</t>
        </is>
      </c>
      <c r="S8">
        <f>HYPERLINK("https://klasma.github.io/Logging_0126/artfynd/A 17467-2024 artfynd.xlsx", "A 17467-2024")</f>
        <v/>
      </c>
      <c r="T8">
        <f>HYPERLINK("https://klasma.github.io/Logging_0126/kartor/A 17467-2024 karta.png", "A 17467-2024")</f>
        <v/>
      </c>
      <c r="U8">
        <f>HYPERLINK("https://klasma.github.io/Logging_0126/knärot/A 17467-2024 karta knärot.png", "A 17467-2024")</f>
        <v/>
      </c>
      <c r="V8">
        <f>HYPERLINK("https://klasma.github.io/Logging_0126/klagomål/A 17467-2024 FSC-klagomål.docx", "A 17467-2024")</f>
        <v/>
      </c>
      <c r="W8">
        <f>HYPERLINK("https://klasma.github.io/Logging_0126/klagomålsmail/A 17467-2024 FSC-klagomål mail.docx", "A 17467-2024")</f>
        <v/>
      </c>
      <c r="X8">
        <f>HYPERLINK("https://klasma.github.io/Logging_0126/tillsyn/A 17467-2024 tillsynsbegäran.docx", "A 17467-2024")</f>
        <v/>
      </c>
      <c r="Y8">
        <f>HYPERLINK("https://klasma.github.io/Logging_0126/tillsynsmail/A 17467-2024 tillsynsbegäran mail.docx", "A 17467-2024")</f>
        <v/>
      </c>
    </row>
    <row r="9" ht="15" customHeight="1">
      <c r="A9" t="inlineStr">
        <is>
          <t>A 9945-2021</t>
        </is>
      </c>
      <c r="B9" s="1" t="n">
        <v>44253</v>
      </c>
      <c r="C9" s="1" t="n">
        <v>45940</v>
      </c>
      <c r="D9" t="inlineStr">
        <is>
          <t>STOCKHOLMS LÄN</t>
        </is>
      </c>
      <c r="E9" t="inlineStr">
        <is>
          <t>HUDDINGE</t>
        </is>
      </c>
      <c r="F9" t="inlineStr">
        <is>
          <t>Kommuner</t>
        </is>
      </c>
      <c r="G9" t="n">
        <v>3</v>
      </c>
      <c r="H9" t="n">
        <v>1</v>
      </c>
      <c r="I9" t="n">
        <v>0</v>
      </c>
      <c r="J9" t="n">
        <v>0</v>
      </c>
      <c r="K9" t="n">
        <v>0</v>
      </c>
      <c r="L9" t="n">
        <v>0</v>
      </c>
      <c r="M9" t="n">
        <v>0</v>
      </c>
      <c r="N9" t="n">
        <v>0</v>
      </c>
      <c r="O9" t="n">
        <v>0</v>
      </c>
      <c r="P9" t="n">
        <v>0</v>
      </c>
      <c r="Q9" t="n">
        <v>1</v>
      </c>
      <c r="R9" s="2" t="inlineStr">
        <is>
          <t>Nattskärra</t>
        </is>
      </c>
      <c r="S9">
        <f>HYPERLINK("https://klasma.github.io/Logging_0126/artfynd/A 9945-2021 artfynd.xlsx", "A 9945-2021")</f>
        <v/>
      </c>
      <c r="T9">
        <f>HYPERLINK("https://klasma.github.io/Logging_0126/kartor/A 9945-2021 karta.png", "A 9945-2021")</f>
        <v/>
      </c>
      <c r="V9">
        <f>HYPERLINK("https://klasma.github.io/Logging_0126/klagomål/A 9945-2021 FSC-klagomål.docx", "A 9945-2021")</f>
        <v/>
      </c>
      <c r="W9">
        <f>HYPERLINK("https://klasma.github.io/Logging_0126/klagomålsmail/A 9945-2021 FSC-klagomål mail.docx", "A 9945-2021")</f>
        <v/>
      </c>
      <c r="X9">
        <f>HYPERLINK("https://klasma.github.io/Logging_0126/tillsyn/A 9945-2021 tillsynsbegäran.docx", "A 9945-2021")</f>
        <v/>
      </c>
      <c r="Y9">
        <f>HYPERLINK("https://klasma.github.io/Logging_0126/tillsynsmail/A 9945-2021 tillsynsbegäran mail.docx", "A 9945-2021")</f>
        <v/>
      </c>
      <c r="Z9">
        <f>HYPERLINK("https://klasma.github.io/Logging_0126/fåglar/A 9945-2021 prioriterade fågelarter.docx", "A 9945-2021")</f>
        <v/>
      </c>
    </row>
    <row r="10" ht="15" customHeight="1">
      <c r="A10" t="inlineStr">
        <is>
          <t>A 24384-2023</t>
        </is>
      </c>
      <c r="B10" s="1" t="n">
        <v>45076</v>
      </c>
      <c r="C10" s="1" t="n">
        <v>45940</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45940</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49421-2023</t>
        </is>
      </c>
      <c r="B12" s="1" t="n">
        <v>45211</v>
      </c>
      <c r="C12" s="1" t="n">
        <v>45940</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24368-2023</t>
        </is>
      </c>
      <c r="B13" s="1" t="n">
        <v>45076</v>
      </c>
      <c r="C13" s="1" t="n">
        <v>45940</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45940</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45940</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58260-2020</t>
        </is>
      </c>
      <c r="B16" s="1" t="n">
        <v>44144</v>
      </c>
      <c r="C16" s="1" t="n">
        <v>45940</v>
      </c>
      <c r="D16" t="inlineStr">
        <is>
          <t>STOCKHOLMS LÄN</t>
        </is>
      </c>
      <c r="E16" t="inlineStr">
        <is>
          <t>HUDDINGE</t>
        </is>
      </c>
      <c r="F16" t="inlineStr">
        <is>
          <t>Kommuner</t>
        </is>
      </c>
      <c r="G16" t="n">
        <v>1.5</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45940</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45940</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45940</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27561-2025</t>
        </is>
      </c>
      <c r="B20" s="1" t="n">
        <v>45813.48378472222</v>
      </c>
      <c r="C20" s="1" t="n">
        <v>45940</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45940</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45940</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ht="15" customHeight="1">
      <c r="A23" t="inlineStr">
        <is>
          <t>A 24363-2023</t>
        </is>
      </c>
      <c r="B23" s="1" t="n">
        <v>45076</v>
      </c>
      <c r="C23" s="1" t="n">
        <v>45940</v>
      </c>
      <c r="D23" t="inlineStr">
        <is>
          <t>STOCKHOLMS LÄN</t>
        </is>
      </c>
      <c r="E23" t="inlineStr">
        <is>
          <t>HUDDINGE</t>
        </is>
      </c>
      <c r="G23" t="n">
        <v>2.4</v>
      </c>
      <c r="H23" t="n">
        <v>0</v>
      </c>
      <c r="I23" t="n">
        <v>0</v>
      </c>
      <c r="J23" t="n">
        <v>0</v>
      </c>
      <c r="K23" t="n">
        <v>0</v>
      </c>
      <c r="L23" t="n">
        <v>0</v>
      </c>
      <c r="M23" t="n">
        <v>0</v>
      </c>
      <c r="N23" t="n">
        <v>0</v>
      </c>
      <c r="O23" t="n">
        <v>0</v>
      </c>
      <c r="P23" t="n">
        <v>0</v>
      </c>
      <c r="Q23" t="n">
        <v>0</v>
      </c>
      <c r="R23" s="2" t="inlineStr"/>
    </row>
    <row r="24">
      <c r="A24" t="inlineStr">
        <is>
          <t>A 47173-2022</t>
        </is>
      </c>
      <c r="B24" s="1" t="n">
        <v>44852</v>
      </c>
      <c r="C24" s="1" t="n">
        <v>45940</v>
      </c>
      <c r="D24" t="inlineStr">
        <is>
          <t>STOCKHOLMS LÄN</t>
        </is>
      </c>
      <c r="E24" t="inlineStr">
        <is>
          <t>HUDDINGE</t>
        </is>
      </c>
      <c r="G24" t="n">
        <v>1.9</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2025-10-10T12:36:35Z</dcterms:created>
  <dcterms:modified xmlns:dcterms="http://purl.org/dc/terms/" xmlns:xsi="http://www.w3.org/2001/XMLSchema-instance" xsi:type="dcterms:W3CDTF">2025-10-10T12:36:35Z</dcterms:modified>
</cp:coreProperties>
</file>