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46318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46318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46318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46318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46318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46318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46318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46318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25210-2026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46175</v>
      </c>
      <c r="E10" s="1" t="n">
        <v>46318</v>
      </c>
      <c r="F10" t="inlineStr">
        <is>
          <t>STOCKHOLMS LÄN</t>
        </is>
      </c>
      <c r="G10" t="inlineStr">
        <is>
          <t>HUDDINGE</t>
        </is>
      </c>
      <c r="I10" t="n">
        <v>0.6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Blåsippa
Mindre vattensalamander
Vanlig padda</t>
        </is>
      </c>
      <c r="W10">
        <f>HYPERLINK("https://klasma.github.io/Logging_0126/artfynd/A 25210-2026 artfynd.xlsx", "A 25210-2026")</f>
        <v/>
      </c>
      <c r="X10">
        <f>HYPERLINK("https://klasma.github.io/Logging_0126/kartor/A 25210-2026 karta.png", "A 25210-2026")</f>
        <v/>
      </c>
      <c r="Y10">
        <f>HYPERLINK("https://klasma.github.io/Logging_0126/kartor_geotiff/A 25210-2026 georefererad karta.tif", "A 25210-2026")</f>
        <v/>
      </c>
      <c r="AA10">
        <f>HYPERLINK("https://klasma.github.io/Logging_0126/klagomål/A 25210-2026 FSC-klagomål.docx", "A 25210-2026")</f>
        <v/>
      </c>
      <c r="AB10">
        <f>HYPERLINK("https://klasma.github.io/Logging_0126/klagomålsmail/A 25210-2026 FSC-klagomål mail.docx", "A 25210-2026")</f>
        <v/>
      </c>
      <c r="AC10">
        <f>HYPERLINK("https://klasma.github.io/Logging_0126/tillsyn/A 25210-2026 tillsynsbegäran.docx", "A 25210-2026")</f>
        <v/>
      </c>
      <c r="AD10">
        <f>HYPERLINK("https://klasma.github.io/Logging_0126/tillsynsmail/A 25210-2026 tillsynsbegäran mail.docx", "A 25210-2026")</f>
        <v/>
      </c>
    </row>
    <row r="11" ht="15" customHeight="1">
      <c r="A11" t="inlineStr">
        <is>
          <t>A 31632-2026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46223</v>
      </c>
      <c r="E11" s="1" t="n">
        <v>46318</v>
      </c>
      <c r="F11" t="inlineStr">
        <is>
          <t>STOCKHOLMS LÄN</t>
        </is>
      </c>
      <c r="G11" t="inlineStr">
        <is>
          <t>HUDDINGE</t>
        </is>
      </c>
      <c r="H11" t="inlineStr">
        <is>
          <t>Kommuner</t>
        </is>
      </c>
      <c r="I11" t="n">
        <v>0.2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Mindre märgborre
Kopparödla</t>
        </is>
      </c>
      <c r="W11">
        <f>HYPERLINK("https://klasma.github.io/Logging_0126/artfynd/A 31632-2026 artfynd.xlsx", "A 31632-2026")</f>
        <v/>
      </c>
      <c r="X11">
        <f>HYPERLINK("https://klasma.github.io/Logging_0126/kartor/A 31632-2026 karta.png", "A 31632-2026")</f>
        <v/>
      </c>
      <c r="Y11">
        <f>HYPERLINK("https://klasma.github.io/Logging_0126/kartor_geotiff/A 31632-2026 georefererad karta.tif", "A 31632-2026")</f>
        <v/>
      </c>
      <c r="AA11">
        <f>HYPERLINK("https://klasma.github.io/Logging_0126/klagomål/A 31632-2026 FSC-klagomål.docx", "A 31632-2026")</f>
        <v/>
      </c>
      <c r="AB11">
        <f>HYPERLINK("https://klasma.github.io/Logging_0126/klagomålsmail/A 31632-2026 FSC-klagomål mail.docx", "A 31632-2026")</f>
        <v/>
      </c>
      <c r="AC11">
        <f>HYPERLINK("https://klasma.github.io/Logging_0126/tillsyn/A 31632-2026 tillsynsbegäran.docx", "A 31632-2026")</f>
        <v/>
      </c>
      <c r="AD11">
        <f>HYPERLINK("https://klasma.github.io/Logging_0126/tillsynsmail/A 31632-2026 tillsynsbegäran mail.docx", "A 31632-2026")</f>
        <v/>
      </c>
    </row>
    <row r="12" ht="15" customHeight="1">
      <c r="A12" t="inlineStr">
        <is>
          <t>A 24384-2023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46318</v>
      </c>
      <c r="F12" t="inlineStr">
        <is>
          <t>STOCKHOLMS LÄN</t>
        </is>
      </c>
      <c r="G12" t="inlineStr">
        <is>
          <t>HUDDINGE</t>
        </is>
      </c>
      <c r="I12" t="n">
        <v>1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Kolflarnlav
Vedskivlav
Spillkråka</t>
        </is>
      </c>
      <c r="W12">
        <f>HYPERLINK("https://klasma.github.io/Logging_0126/artfynd/A 24384-2023 artfynd.xlsx", "A 24384-2023")</f>
        <v/>
      </c>
      <c r="X12">
        <f>HYPERLINK("https://klasma.github.io/Logging_0126/kartor/A 24384-2023 karta.png", "A 24384-2023")</f>
        <v/>
      </c>
      <c r="Y12">
        <f>HYPERLINK("https://klasma.github.io/Logging_0126/kartor_geotiff/A 24384-2023 georefererad karta.tif", "A 24384-2023")</f>
        <v/>
      </c>
      <c r="AA12">
        <f>HYPERLINK("https://klasma.github.io/Logging_0126/klagomål/A 24384-2023 FSC-klagomål.docx", "A 24384-2023")</f>
        <v/>
      </c>
      <c r="AB12">
        <f>HYPERLINK("https://klasma.github.io/Logging_0126/klagomålsmail/A 24384-2023 FSC-klagomål mail.docx", "A 24384-2023")</f>
        <v/>
      </c>
      <c r="AC12">
        <f>HYPERLINK("https://klasma.github.io/Logging_0126/tillsyn/A 24384-2023 tillsynsbegäran.docx", "A 24384-2023")</f>
        <v/>
      </c>
      <c r="AD12">
        <f>HYPERLINK("https://klasma.github.io/Logging_0126/tillsynsmail/A 24384-2023 tillsynsbegäran mail.docx", "A 24384-2023")</f>
        <v/>
      </c>
      <c r="AE12">
        <f>HYPERLINK("https://klasma.github.io/Logging_0126/fåglar/A 24384-2023 prioriterade fågelarter.docx", "A 24384-2023")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46318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46318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46318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46318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46318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46318</v>
      </c>
      <c r="F18" t="inlineStr">
        <is>
          <t>STOCKHOLMS LÄN</t>
        </is>
      </c>
      <c r="G18" t="inlineStr">
        <is>
          <t>HUDDINGE</t>
        </is>
      </c>
      <c r="I18" t="n">
        <v>3.7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Svartvit taggsvamp</t>
        </is>
      </c>
      <c r="W18">
        <f>HYPERLINK("https://klasma.github.io/Logging_0126/artfynd/A 24233-2023 artfynd.xlsx", "A 24233-2023")</f>
        <v/>
      </c>
      <c r="X18">
        <f>HYPERLINK("https://klasma.github.io/Logging_0126/kartor/A 24233-2023 karta.png", "A 24233-2023")</f>
        <v/>
      </c>
      <c r="Y18">
        <f>HYPERLINK("https://klasma.github.io/Logging_0126/kartor_geotiff/A 24233-2023 georefererad karta.tif", "A 24233-2023")</f>
        <v/>
      </c>
      <c r="AA18">
        <f>HYPERLINK("https://klasma.github.io/Logging_0126/klagomål/A 24233-2023 FSC-klagomål.docx", "A 24233-2023")</f>
        <v/>
      </c>
      <c r="AB18">
        <f>HYPERLINK("https://klasma.github.io/Logging_0126/klagomålsmail/A 24233-2023 FSC-klagomål mail.docx", "A 24233-2023")</f>
        <v/>
      </c>
      <c r="AC18">
        <f>HYPERLINK("https://klasma.github.io/Logging_0126/tillsyn/A 24233-2023 tillsynsbegäran.docx", "A 24233-2023")</f>
        <v/>
      </c>
      <c r="AD18">
        <f>HYPERLINK("https://klasma.github.io/Logging_0126/tillsynsmail/A 24233-2023 tillsynsbegäran mail.docx", "A 24233-2023")</f>
        <v/>
      </c>
    </row>
    <row r="19" ht="15" customHeight="1">
      <c r="A19" t="inlineStr">
        <is>
          <t>A 31633-2026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46223</v>
      </c>
      <c r="E19" s="1" t="n">
        <v>46318</v>
      </c>
      <c r="F19" t="inlineStr">
        <is>
          <t>STOCKHOLMS LÄN</t>
        </is>
      </c>
      <c r="G19" t="inlineStr">
        <is>
          <t>HUDDINGE</t>
        </is>
      </c>
      <c r="H19" t="inlineStr">
        <is>
          <t>Kommuner</t>
        </is>
      </c>
      <c r="I19" t="n">
        <v>2.5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Kopparödla</t>
        </is>
      </c>
      <c r="W19">
        <f>HYPERLINK("https://klasma.github.io/Logging_0126/artfynd/A 31633-2026 artfynd.xlsx", "A 31633-2026")</f>
        <v/>
      </c>
      <c r="X19">
        <f>HYPERLINK("https://klasma.github.io/Logging_0126/kartor/A 31633-2026 karta.png", "A 31633-2026")</f>
        <v/>
      </c>
      <c r="Y19">
        <f>HYPERLINK("https://klasma.github.io/Logging_0126/kartor_geotiff/A 31633-2026 georefererad karta.tif", "A 31633-2026")</f>
        <v/>
      </c>
      <c r="AA19">
        <f>HYPERLINK("https://klasma.github.io/Logging_0126/klagomål/A 31633-2026 FSC-klagomål.docx", "A 31633-2026")</f>
        <v/>
      </c>
      <c r="AB19">
        <f>HYPERLINK("https://klasma.github.io/Logging_0126/klagomålsmail/A 31633-2026 FSC-klagomål mail.docx", "A 31633-2026")</f>
        <v/>
      </c>
      <c r="AC19">
        <f>HYPERLINK("https://klasma.github.io/Logging_0126/tillsyn/A 31633-2026 tillsynsbegäran.docx", "A 31633-2026")</f>
        <v/>
      </c>
      <c r="AD19">
        <f>HYPERLINK("https://klasma.github.io/Logging_0126/tillsynsmail/A 31633-2026 tillsynsbegäran mail.docx", "A 31633-2026")</f>
        <v/>
      </c>
    </row>
    <row r="20" ht="15" customHeight="1">
      <c r="A20" t="inlineStr">
        <is>
          <t>A 31514-2026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46318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Tibast</t>
        </is>
      </c>
      <c r="W20">
        <f>HYPERLINK("https://klasma.github.io/Logging_0126/artfynd/A 31514-2026 artfynd.xlsx", "A 31514-2026")</f>
        <v/>
      </c>
      <c r="X20">
        <f>HYPERLINK("https://klasma.github.io/Logging_0126/kartor/A 31514-2026 karta.png", "A 31514-2026")</f>
        <v/>
      </c>
      <c r="Y20">
        <f>HYPERLINK("https://klasma.github.io/Logging_0126/kartor_geotiff/A 31514-2026 georefererad karta.tif", "A 31514-2026")</f>
        <v/>
      </c>
      <c r="AA20">
        <f>HYPERLINK("https://klasma.github.io/Logging_0126/klagomål/A 31514-2026 FSC-klagomål.docx", "A 31514-2026")</f>
        <v/>
      </c>
      <c r="AB20">
        <f>HYPERLINK("https://klasma.github.io/Logging_0126/klagomålsmail/A 31514-2026 FSC-klagomål mail.docx", "A 31514-2026")</f>
        <v/>
      </c>
      <c r="AC20">
        <f>HYPERLINK("https://klasma.github.io/Logging_0126/tillsyn/A 31514-2026 tillsynsbegäran.docx", "A 31514-2026")</f>
        <v/>
      </c>
      <c r="AD20">
        <f>HYPERLINK("https://klasma.github.io/Logging_0126/tillsynsmail/A 31514-2026 tillsynsbegäran mail.docx", "A 31514-2026")</f>
        <v/>
      </c>
    </row>
    <row r="21" ht="15" customHeight="1">
      <c r="A21" t="inlineStr">
        <is>
          <t>A 31568-2026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46318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0.2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Skogsödla</t>
        </is>
      </c>
      <c r="W21">
        <f>HYPERLINK("https://klasma.github.io/Logging_0126/artfynd/A 31568-2026 artfynd.xlsx", "A 31568-2026")</f>
        <v/>
      </c>
      <c r="X21">
        <f>HYPERLINK("https://klasma.github.io/Logging_0126/kartor/A 31568-2026 karta.png", "A 31568-2026")</f>
        <v/>
      </c>
      <c r="Y21">
        <f>HYPERLINK("https://klasma.github.io/Logging_0126/kartor_geotiff/A 31568-2026 georefererad karta.tif", "A 31568-2026")</f>
        <v/>
      </c>
      <c r="AA21">
        <f>HYPERLINK("https://klasma.github.io/Logging_0126/klagomål/A 31568-2026 FSC-klagomål.docx", "A 31568-2026")</f>
        <v/>
      </c>
      <c r="AB21">
        <f>HYPERLINK("https://klasma.github.io/Logging_0126/klagomålsmail/A 31568-2026 FSC-klagomål mail.docx", "A 31568-2026")</f>
        <v/>
      </c>
      <c r="AC21">
        <f>HYPERLINK("https://klasma.github.io/Logging_0126/tillsyn/A 31568-2026 tillsynsbegäran.docx", "A 31568-2026")</f>
        <v/>
      </c>
      <c r="AD21">
        <f>HYPERLINK("https://klasma.github.io/Logging_0126/tillsynsmail/A 31568-2026 tillsynsbegäran mail.docx", "A 31568-2026")</f>
        <v/>
      </c>
    </row>
    <row r="22" ht="15" customHeight="1">
      <c r="A22" t="inlineStr">
        <is>
          <t>A 31795-2026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46230</v>
      </c>
      <c r="E22" s="1" t="n">
        <v>46318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HYPERLINK("https://klasma.github.io/Logging_0126/artfynd/A 31795-2026 artfynd.xlsx", "A 31795-2026")</f>
        <v/>
      </c>
      <c r="X22">
        <f>HYPERLINK("https://klasma.github.io/Logging_0126/kartor/A 31795-2026 karta.png", "A 31795-2026")</f>
        <v/>
      </c>
      <c r="Y22">
        <f>HYPERLINK("https://klasma.github.io/Logging_0126/kartor_geotiff/A 31795-2026 georefererad karta.tif", "A 31795-2026")</f>
        <v/>
      </c>
      <c r="AA22">
        <f>HYPERLINK("https://klasma.github.io/Logging_0126/klagomål/A 31795-2026 FSC-klagomål.docx", "A 31795-2026")</f>
        <v/>
      </c>
      <c r="AB22">
        <f>HYPERLINK("https://klasma.github.io/Logging_0126/klagomålsmail/A 31795-2026 FSC-klagomål mail.docx", "A 31795-2026")</f>
        <v/>
      </c>
      <c r="AC22">
        <f>HYPERLINK("https://klasma.github.io/Logging_0126/tillsyn/A 31795-2026 tillsynsbegäran.docx", "A 31795-2026")</f>
        <v/>
      </c>
      <c r="AD22">
        <f>HYPERLINK("https://klasma.github.io/Logging_0126/tillsynsmail/A 31795-2026 tillsynsbegäran mail.docx", "A 31795-2026")</f>
        <v/>
      </c>
    </row>
    <row r="23" ht="15" customHeight="1">
      <c r="A23" t="inlineStr">
        <is>
          <t>A 24262-2023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46318</v>
      </c>
      <c r="F23" t="inlineStr">
        <is>
          <t>STOCKHOLMS LÄN</t>
        </is>
      </c>
      <c r="G23" t="inlineStr">
        <is>
          <t>HUDDINGE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HYPERLINK("https://klasma.github.io/Logging_0126/artfynd/A 24262-2023 artfynd.xlsx", "A 24262-2023")</f>
        <v/>
      </c>
      <c r="X23">
        <f>HYPERLINK("https://klasma.github.io/Logging_0126/kartor/A 24262-2023 karta.png", "A 24262-2023")</f>
        <v/>
      </c>
      <c r="Y23">
        <f>HYPERLINK("https://klasma.github.io/Logging_0126/kartor_geotiff/A 24262-2023 georefererad karta.tif", "A 24262-2023")</f>
        <v/>
      </c>
      <c r="AA23">
        <f>HYPERLINK("https://klasma.github.io/Logging_0126/klagomål/A 24262-2023 FSC-klagomål.docx", "A 24262-2023")</f>
        <v/>
      </c>
      <c r="AB23">
        <f>HYPERLINK("https://klasma.github.io/Logging_0126/klagomålsmail/A 24262-2023 FSC-klagomål mail.docx", "A 24262-2023")</f>
        <v/>
      </c>
      <c r="AC23">
        <f>HYPERLINK("https://klasma.github.io/Logging_0126/tillsyn/A 24262-2023 tillsynsbegäran.docx", "A 24262-2023")</f>
        <v/>
      </c>
      <c r="AD23">
        <f>HYPERLINK("https://klasma.github.io/Logging_0126/tillsynsmail/A 24262-2023 tillsynsbegäran mail.docx", "A 24262-2023")</f>
        <v/>
      </c>
    </row>
    <row r="24" ht="15" customHeight="1">
      <c r="A24" t="inlineStr">
        <is>
          <t>A 24363-2023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46318</v>
      </c>
      <c r="F24" t="inlineStr">
        <is>
          <t>STOCKHOLMS LÄN</t>
        </is>
      </c>
      <c r="G24" t="inlineStr">
        <is>
          <t>HUDDINGE</t>
        </is>
      </c>
      <c r="I24" t="n">
        <v>2.4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HYPERLINK("https://klasma.github.io/Logging_0126/artfynd/A 24363-2023 artfynd.xlsx", "A 24363-2023")</f>
        <v/>
      </c>
      <c r="X24">
        <f>HYPERLINK("https://klasma.github.io/Logging_0126/kartor/A 24363-2023 karta.png", "A 24363-2023")</f>
        <v/>
      </c>
      <c r="Y24">
        <f>HYPERLINK("https://klasma.github.io/Logging_0126/kartor_geotiff/A 24363-2023 georefererad karta.tif", "A 24363-2023")</f>
        <v/>
      </c>
      <c r="AA24">
        <f>HYPERLINK("https://klasma.github.io/Logging_0126/klagomål/A 24363-2023 FSC-klagomål.docx", "A 24363-2023")</f>
        <v/>
      </c>
      <c r="AB24">
        <f>HYPERLINK("https://klasma.github.io/Logging_0126/klagomålsmail/A 24363-2023 FSC-klagomål mail.docx", "A 24363-2023")</f>
        <v/>
      </c>
      <c r="AC24">
        <f>HYPERLINK("https://klasma.github.io/Logging_0126/tillsyn/A 24363-2023 tillsynsbegäran.docx", "A 24363-2023")</f>
        <v/>
      </c>
      <c r="AD24">
        <f>HYPERLINK("https://klasma.github.io/Logging_0126/tillsynsmail/A 24363-2023 tillsynsbegäran mail.docx", "A 24363-2023")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46318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44798</v>
      </c>
      <c r="E26" s="1" t="n">
        <v>46318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46318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31645-2026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46225</v>
      </c>
      <c r="E28" s="1" t="n">
        <v>46318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31651-2026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46223</v>
      </c>
      <c r="E29" s="1" t="n">
        <v>46318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  <c r="X29">
        <f>HYPERLINK("https://klasma.github.io/Logging_0126/kartor/A 31651-2026 karta.png", "A 31651-2026")</f>
        <v/>
      </c>
      <c r="Y29">
        <f>HYPERLINK("https://klasma.github.io/Logging_0126/kartor_geotiff/A 31651-2026 georefererad karta.tif", "A 31651-2026")</f>
        <v/>
      </c>
      <c r="AA29">
        <f>HYPERLINK("https://klasma.github.io/Logging_0126/klagomål/A 31651-2026 FSC-klagomål.docx", "A 31651-2026")</f>
        <v/>
      </c>
      <c r="AB29">
        <f>HYPERLINK("https://klasma.github.io/Logging_0126/klagomålsmail/A 31651-2026 FSC-klagomål mail.docx", "A 31651-2026")</f>
        <v/>
      </c>
      <c r="AC29">
        <f>HYPERLINK("https://klasma.github.io/Logging_0126/tillsyn/A 31651-2026 tillsynsbegäran.docx", "A 31651-2026")</f>
        <v/>
      </c>
      <c r="AD29">
        <f>HYPERLINK("https://klasma.github.io/Logging_0126/tillsynsmail/A 31651-2026 tillsynsbegäran mail.docx", "A 31651-2026")</f>
        <v/>
      </c>
    </row>
    <row r="30" ht="15" customHeight="1">
      <c r="A30" t="inlineStr">
        <is>
          <t>A 31650-2026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46318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47173-2022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44852</v>
      </c>
      <c r="E31" s="1" t="n">
        <v>46318</v>
      </c>
      <c r="F31" t="inlineStr">
        <is>
          <t>STOCKHOLMS LÄN</t>
        </is>
      </c>
      <c r="G31" t="inlineStr">
        <is>
          <t>HUDDINGE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2026-10-23T02:04:13Z</dcterms:created>
  <dcterms:modified xmlns:dcterms="http://purl.org/dc/terms/" xmlns:xsi="http://www.w3.org/2001/XMLSchema-instance" xsi:type="dcterms:W3CDTF">2026-10-23T02:04:13Z</dcterms:modified>
</cp:coreProperties>
</file>