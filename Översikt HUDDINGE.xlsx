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46275</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46275</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46275</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46275</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46275</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46275</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46275</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46275</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17467-2024</t>
        </is>
      </c>
      <c r="B10" t="inlineStr">
        <is>
          <t>avverkningsanmälan</t>
        </is>
      </c>
      <c r="C10" t="inlineStr">
        <is>
          <t>Föryngringsavverkning</t>
        </is>
      </c>
      <c r="D10" s="1" t="n">
        <v>45415</v>
      </c>
      <c r="E10" s="1" t="n">
        <v>46275</v>
      </c>
      <c r="F10" t="inlineStr">
        <is>
          <t>STOCKHOLMS LÄN</t>
        </is>
      </c>
      <c r="G10" t="inlineStr">
        <is>
          <t>HUDDINGE</t>
        </is>
      </c>
      <c r="I10" t="n">
        <v>14</v>
      </c>
      <c r="J10" t="n">
        <v>1</v>
      </c>
      <c r="K10" t="n">
        <v>1</v>
      </c>
      <c r="L10" t="n">
        <v>1</v>
      </c>
      <c r="M10" t="n">
        <v>1</v>
      </c>
      <c r="N10" t="n">
        <v>0</v>
      </c>
      <c r="O10" t="n">
        <v>0</v>
      </c>
      <c r="P10" t="n">
        <v>0</v>
      </c>
      <c r="Q10" t="n">
        <v>2</v>
      </c>
      <c r="R10" t="n">
        <v>1</v>
      </c>
      <c r="S10" t="n">
        <v>3</v>
      </c>
      <c r="T10" t="n">
        <v>3</v>
      </c>
      <c r="U10" t="n">
        <v>3</v>
      </c>
      <c r="V10" s="2" t="inlineStr">
        <is>
          <t>Knärot
Motaggsvamp
Bronshjon</t>
        </is>
      </c>
      <c r="W10">
        <f>HYPERLINK("https://klasma.github.io/Logging_0126/artfynd/A 17467-2024 artfynd.xlsx", "A 17467-2024")</f>
        <v/>
      </c>
      <c r="X10">
        <f>HYPERLINK("https://klasma.github.io/Logging_0126/kartor/A 17467-2024 karta.png", "A 17467-2024")</f>
        <v/>
      </c>
      <c r="Y10">
        <f>HYPERLINK("https://klasma.github.io/Logging_0126/kartor_geotiff/A 17467-2024 georefererad karta.tif", "A 17467-2024")</f>
        <v/>
      </c>
      <c r="Z10">
        <f>HYPERLINK("https://klasma.github.io/Logging_0126/knärot/A 17467-2024 karta knärot.png", "A 17467-2024")</f>
        <v/>
      </c>
      <c r="AA10">
        <f>HYPERLINK("https://klasma.github.io/Logging_0126/klagomål/A 17467-2024 FSC-klagomål.docx", "A 17467-2024")</f>
        <v/>
      </c>
      <c r="AB10">
        <f>HYPERLINK("https://klasma.github.io/Logging_0126/klagomålsmail/A 17467-2024 FSC-klagomål mail.docx", "A 17467-2024")</f>
        <v/>
      </c>
      <c r="AC10">
        <f>HYPERLINK("https://klasma.github.io/Logging_0126/tillsyn/A 17467-2024 tillsynsbegäran.docx", "A 17467-2024")</f>
        <v/>
      </c>
      <c r="AD10">
        <f>HYPERLINK("https://klasma.github.io/Logging_0126/tillsynsmail/A 17467-2024 tillsynsbegäran mail.docx", "A 17467-2024")</f>
        <v/>
      </c>
    </row>
    <row r="11" ht="15" customHeight="1">
      <c r="A11" t="inlineStr">
        <is>
          <t>A 24254-2023</t>
        </is>
      </c>
      <c r="B11" t="inlineStr">
        <is>
          <t>avverkningsanmälan</t>
        </is>
      </c>
      <c r="C11" t="inlineStr">
        <is>
          <t>Föryngringsavverkning</t>
        </is>
      </c>
      <c r="D11" s="1" t="n">
        <v>45076</v>
      </c>
      <c r="E11" s="1" t="n">
        <v>46275</v>
      </c>
      <c r="F11" t="inlineStr">
        <is>
          <t>STOCKHOLMS LÄN</t>
        </is>
      </c>
      <c r="G11" t="inlineStr">
        <is>
          <t>HUDDINGE</t>
        </is>
      </c>
      <c r="I11" t="n">
        <v>1.2</v>
      </c>
      <c r="J11" t="n">
        <v>0</v>
      </c>
      <c r="K11" t="n">
        <v>0</v>
      </c>
      <c r="L11" t="n">
        <v>2</v>
      </c>
      <c r="M11" t="n">
        <v>0</v>
      </c>
      <c r="N11" t="n">
        <v>1</v>
      </c>
      <c r="O11" t="n">
        <v>0</v>
      </c>
      <c r="P11" t="n">
        <v>0</v>
      </c>
      <c r="Q11" t="n">
        <v>3</v>
      </c>
      <c r="R11" t="n">
        <v>1</v>
      </c>
      <c r="S11" t="n">
        <v>3</v>
      </c>
      <c r="T11" t="n">
        <v>3</v>
      </c>
      <c r="U11" t="n">
        <v>3</v>
      </c>
      <c r="V11" s="2" t="inlineStr">
        <is>
          <t>Tallharticka
Kandelabersvamp
Vit vedfingersvamp</t>
        </is>
      </c>
      <c r="W11">
        <f>HYPERLINK("https://klasma.github.io/Logging_0126/artfynd/A 24254-2023 artfynd.xlsx", "A 24254-2023")</f>
        <v/>
      </c>
      <c r="X11">
        <f>HYPERLINK("https://klasma.github.io/Logging_0126/kartor/A 24254-2023 karta.png", "A 24254-2023")</f>
        <v/>
      </c>
      <c r="Y11">
        <f>HYPERLINK("https://klasma.github.io/Logging_0126/kartor_geotiff/A 24254-2023 georefererad karta.tif", "A 24254-2023")</f>
        <v/>
      </c>
      <c r="AA11">
        <f>HYPERLINK("https://klasma.github.io/Logging_0126/klagomål/A 24254-2023 FSC-klagomål.docx", "A 24254-2023")</f>
        <v/>
      </c>
      <c r="AB11">
        <f>HYPERLINK("https://klasma.github.io/Logging_0126/klagomålsmail/A 24254-2023 FSC-klagomål mail.docx", "A 24254-2023")</f>
        <v/>
      </c>
      <c r="AC11">
        <f>HYPERLINK("https://klasma.github.io/Logging_0126/tillsyn/A 24254-2023 tillsynsbegäran.docx", "A 24254-2023")</f>
        <v/>
      </c>
      <c r="AD11">
        <f>HYPERLINK("https://klasma.github.io/Logging_0126/tillsynsmail/A 24254-2023 tillsynsbegäran mail.docx", "A 24254-2023")</f>
        <v/>
      </c>
    </row>
    <row r="12" ht="15" customHeight="1">
      <c r="A12" t="inlineStr">
        <is>
          <t>A 24384-2023</t>
        </is>
      </c>
      <c r="B12" t="inlineStr">
        <is>
          <t>avverkningsanmälan</t>
        </is>
      </c>
      <c r="C12" t="inlineStr">
        <is>
          <t>Föryngringsavverkning</t>
        </is>
      </c>
      <c r="D12" s="1" t="n">
        <v>45076</v>
      </c>
      <c r="E12" s="1" t="n">
        <v>46275</v>
      </c>
      <c r="F12" t="inlineStr">
        <is>
          <t>STOCKHOLMS LÄN</t>
        </is>
      </c>
      <c r="G12" t="inlineStr">
        <is>
          <t>HUDDINGE</t>
        </is>
      </c>
      <c r="I12" t="n">
        <v>1</v>
      </c>
      <c r="J12" t="n">
        <v>1</v>
      </c>
      <c r="K12" t="n">
        <v>0</v>
      </c>
      <c r="L12" t="n">
        <v>2</v>
      </c>
      <c r="M12" t="n">
        <v>0</v>
      </c>
      <c r="N12" t="n">
        <v>0</v>
      </c>
      <c r="O12" t="n">
        <v>0</v>
      </c>
      <c r="P12" t="n">
        <v>0</v>
      </c>
      <c r="Q12" t="n">
        <v>2</v>
      </c>
      <c r="R12" t="n">
        <v>0</v>
      </c>
      <c r="S12" t="n">
        <v>3</v>
      </c>
      <c r="T12" t="n">
        <v>4</v>
      </c>
      <c r="U12" t="n">
        <v>4</v>
      </c>
      <c r="V12" s="2" t="inlineStr">
        <is>
          <t>Kolflarnlav
Vedskivlav
Spillkråka</t>
        </is>
      </c>
      <c r="W12">
        <f>HYPERLINK("https://klasma.github.io/Logging_0126/artfynd/A 24384-2023 artfynd.xlsx", "A 24384-2023")</f>
        <v/>
      </c>
      <c r="X12">
        <f>HYPERLINK("https://klasma.github.io/Logging_0126/kartor/A 24384-2023 karta.png", "A 24384-2023")</f>
        <v/>
      </c>
      <c r="Y12">
        <f>HYPERLINK("https://klasma.github.io/Logging_0126/kartor_geotiff/A 24384-2023 georefererad karta.tif", "A 24384-2023")</f>
        <v/>
      </c>
      <c r="AA12">
        <f>HYPERLINK("https://klasma.github.io/Logging_0126/klagomål/A 24384-2023 FSC-klagomål.docx", "A 24384-2023")</f>
        <v/>
      </c>
      <c r="AB12">
        <f>HYPERLINK("https://klasma.github.io/Logging_0126/klagomålsmail/A 24384-2023 FSC-klagomål mail.docx", "A 24384-2023")</f>
        <v/>
      </c>
      <c r="AC12">
        <f>HYPERLINK("https://klasma.github.io/Logging_0126/tillsyn/A 24384-2023 tillsynsbegäran.docx", "A 24384-2023")</f>
        <v/>
      </c>
      <c r="AD12">
        <f>HYPERLINK("https://klasma.github.io/Logging_0126/tillsynsmail/A 24384-2023 tillsynsbegäran mail.docx", "A 24384-2023")</f>
        <v/>
      </c>
      <c r="AE12">
        <f>HYPERLINK("https://klasma.github.io/Logging_0126/fåglar/A 24384-2023 prioriterade fågelarter.docx", "A 24384-2023")</f>
        <v/>
      </c>
    </row>
    <row r="13" ht="15" customHeight="1">
      <c r="A13" t="inlineStr">
        <is>
          <t>A 25210-2026</t>
        </is>
      </c>
      <c r="B13" t="inlineStr">
        <is>
          <t>avverkningsanmälan</t>
        </is>
      </c>
      <c r="C13" t="inlineStr">
        <is>
          <t>Föryngringsavverkning</t>
        </is>
      </c>
      <c r="D13" s="1" t="n">
        <v>46175</v>
      </c>
      <c r="E13" s="1" t="n">
        <v>46275</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46275</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46275</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46275</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46275</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24233-2023</t>
        </is>
      </c>
      <c r="B18" t="inlineStr">
        <is>
          <t>avverkningsanmälan</t>
        </is>
      </c>
      <c r="C18" t="inlineStr">
        <is>
          <t>Föryngringsavverkning</t>
        </is>
      </c>
      <c r="D18" s="1" t="n">
        <v>45076</v>
      </c>
      <c r="E18" s="1" t="n">
        <v>46275</v>
      </c>
      <c r="F18" t="inlineStr">
        <is>
          <t>STOCKHOLMS LÄN</t>
        </is>
      </c>
      <c r="G18" t="inlineStr">
        <is>
          <t>HUDDINGE</t>
        </is>
      </c>
      <c r="I18" t="n">
        <v>3.7</v>
      </c>
      <c r="J18" t="n">
        <v>0</v>
      </c>
      <c r="K18" t="n">
        <v>0</v>
      </c>
      <c r="L18" t="n">
        <v>1</v>
      </c>
      <c r="M18" t="n">
        <v>0</v>
      </c>
      <c r="N18" t="n">
        <v>0</v>
      </c>
      <c r="O18" t="n">
        <v>0</v>
      </c>
      <c r="P18" t="n">
        <v>0</v>
      </c>
      <c r="Q18" t="n">
        <v>1</v>
      </c>
      <c r="R18" t="n">
        <v>0</v>
      </c>
      <c r="S18" t="n">
        <v>1</v>
      </c>
      <c r="T18" t="n">
        <v>1</v>
      </c>
      <c r="U18" t="n">
        <v>1</v>
      </c>
      <c r="V18" s="2" t="inlineStr">
        <is>
          <t>Svartvit taggsvamp</t>
        </is>
      </c>
      <c r="W18">
        <f>HYPERLINK("https://klasma.github.io/Logging_0126/artfynd/A 24233-2023 artfynd.xlsx", "A 24233-2023")</f>
        <v/>
      </c>
      <c r="X18">
        <f>HYPERLINK("https://klasma.github.io/Logging_0126/kartor/A 24233-2023 karta.png", "A 24233-2023")</f>
        <v/>
      </c>
      <c r="Y18">
        <f>HYPERLINK("https://klasma.github.io/Logging_0126/kartor_geotiff/A 24233-2023 georefererad karta.tif", "A 24233-2023")</f>
        <v/>
      </c>
      <c r="AA18">
        <f>HYPERLINK("https://klasma.github.io/Logging_0126/klagomål/A 24233-2023 FSC-klagomål.docx", "A 24233-2023")</f>
        <v/>
      </c>
      <c r="AB18">
        <f>HYPERLINK("https://klasma.github.io/Logging_0126/klagomålsmail/A 24233-2023 FSC-klagomål mail.docx", "A 24233-2023")</f>
        <v/>
      </c>
      <c r="AC18">
        <f>HYPERLINK("https://klasma.github.io/Logging_0126/tillsyn/A 24233-2023 tillsynsbegäran.docx", "A 24233-2023")</f>
        <v/>
      </c>
      <c r="AD18">
        <f>HYPERLINK("https://klasma.github.io/Logging_0126/tillsynsmail/A 24233-2023 tillsynsbegäran mail.docx", "A 24233-2023")</f>
        <v/>
      </c>
    </row>
    <row r="19" ht="15" customHeight="1">
      <c r="A19" t="inlineStr">
        <is>
          <t>A 24363-2023</t>
        </is>
      </c>
      <c r="B19" t="inlineStr">
        <is>
          <t>avverkningsanmälan</t>
        </is>
      </c>
      <c r="C19" t="inlineStr">
        <is>
          <t>Föryngringsavverkning</t>
        </is>
      </c>
      <c r="D19" s="1" t="n">
        <v>45076</v>
      </c>
      <c r="E19" s="1" t="n">
        <v>46275</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24257-2023</t>
        </is>
      </c>
      <c r="B20" t="inlineStr">
        <is>
          <t>avverkningsanmälan</t>
        </is>
      </c>
      <c r="C20" t="inlineStr">
        <is>
          <t>Föryngringsavverkning</t>
        </is>
      </c>
      <c r="D20" s="1" t="n">
        <v>45076</v>
      </c>
      <c r="E20" s="1" t="n">
        <v>46275</v>
      </c>
      <c r="F20" t="inlineStr">
        <is>
          <t>STOCKHOLMS LÄN</t>
        </is>
      </c>
      <c r="G20" t="inlineStr">
        <is>
          <t>HUDDINGE</t>
        </is>
      </c>
      <c r="I20" t="n">
        <v>1</v>
      </c>
      <c r="J20" t="n">
        <v>0</v>
      </c>
      <c r="K20" t="n">
        <v>0</v>
      </c>
      <c r="L20" t="n">
        <v>1</v>
      </c>
      <c r="M20" t="n">
        <v>0</v>
      </c>
      <c r="N20" t="n">
        <v>0</v>
      </c>
      <c r="O20" t="n">
        <v>0</v>
      </c>
      <c r="P20" t="n">
        <v>0</v>
      </c>
      <c r="Q20" t="n">
        <v>1</v>
      </c>
      <c r="R20" t="n">
        <v>0</v>
      </c>
      <c r="S20" t="n">
        <v>1</v>
      </c>
      <c r="T20" t="n">
        <v>1</v>
      </c>
      <c r="U20" t="n">
        <v>1</v>
      </c>
      <c r="V20" s="2" t="inlineStr">
        <is>
          <t>Kolflarnlav</t>
        </is>
      </c>
      <c r="W20">
        <f>HYPERLINK("https://klasma.github.io/Logging_0126/artfynd/A 24257-2023 artfynd.xlsx", "A 24257-2023")</f>
        <v/>
      </c>
      <c r="X20">
        <f>HYPERLINK("https://klasma.github.io/Logging_0126/kartor/A 24257-2023 karta.png", "A 24257-2023")</f>
        <v/>
      </c>
      <c r="Y20">
        <f>HYPERLINK("https://klasma.github.io/Logging_0126/kartor_geotiff/A 24257-2023 georefererad karta.tif", "A 24257-2023")</f>
        <v/>
      </c>
      <c r="AA20">
        <f>HYPERLINK("https://klasma.github.io/Logging_0126/klagomål/A 24257-2023 FSC-klagomål.docx", "A 24257-2023")</f>
        <v/>
      </c>
      <c r="AB20">
        <f>HYPERLINK("https://klasma.github.io/Logging_0126/klagomålsmail/A 24257-2023 FSC-klagomål mail.docx", "A 24257-2023")</f>
        <v/>
      </c>
      <c r="AC20">
        <f>HYPERLINK("https://klasma.github.io/Logging_0126/tillsyn/A 24257-2023 tillsynsbegäran.docx", "A 24257-2023")</f>
        <v/>
      </c>
      <c r="AD20">
        <f>HYPERLINK("https://klasma.github.io/Logging_0126/tillsynsmail/A 24257-2023 tillsynsbegäran mail.docx", "A 24257-2023")</f>
        <v/>
      </c>
    </row>
    <row r="21" ht="15" customHeight="1">
      <c r="A21" t="inlineStr">
        <is>
          <t>A 24262-2023</t>
        </is>
      </c>
      <c r="B21" t="inlineStr">
        <is>
          <t>avverkningsanmälan</t>
        </is>
      </c>
      <c r="C21" t="inlineStr">
        <is>
          <t>Föryngringsavverkning</t>
        </is>
      </c>
      <c r="D21" s="1" t="n">
        <v>45076</v>
      </c>
      <c r="E21" s="1" t="n">
        <v>46275</v>
      </c>
      <c r="F21" t="inlineStr">
        <is>
          <t>STOCKHOLMS LÄN</t>
        </is>
      </c>
      <c r="G21" t="inlineStr">
        <is>
          <t>HUDDINGE</t>
        </is>
      </c>
      <c r="I21" t="n">
        <v>2.5</v>
      </c>
      <c r="J21" t="n">
        <v>0</v>
      </c>
      <c r="K21" t="n">
        <v>1</v>
      </c>
      <c r="L21" t="n">
        <v>0</v>
      </c>
      <c r="M21" t="n">
        <v>0</v>
      </c>
      <c r="N21" t="n">
        <v>0</v>
      </c>
      <c r="O21" t="n">
        <v>0</v>
      </c>
      <c r="P21" t="n">
        <v>0</v>
      </c>
      <c r="Q21" t="n">
        <v>0</v>
      </c>
      <c r="R21" t="n">
        <v>0</v>
      </c>
      <c r="S21" t="n">
        <v>1</v>
      </c>
      <c r="T21" t="n">
        <v>1</v>
      </c>
      <c r="U21" t="n">
        <v>1</v>
      </c>
      <c r="V21" s="2" t="inlineStr">
        <is>
          <t>Tibast</t>
        </is>
      </c>
      <c r="W21">
        <f>HYPERLINK("https://klasma.github.io/Logging_0126/artfynd/A 24262-2023 artfynd.xlsx", "A 24262-2023")</f>
        <v/>
      </c>
      <c r="X21">
        <f>HYPERLINK("https://klasma.github.io/Logging_0126/kartor/A 24262-2023 karta.png", "A 24262-2023")</f>
        <v/>
      </c>
      <c r="Y21">
        <f>HYPERLINK("https://klasma.github.io/Logging_0126/kartor_geotiff/A 24262-2023 georefererad karta.tif", "A 24262-2023")</f>
        <v/>
      </c>
      <c r="AA21">
        <f>HYPERLINK("https://klasma.github.io/Logging_0126/klagomål/A 24262-2023 FSC-klagomål.docx", "A 24262-2023")</f>
        <v/>
      </c>
      <c r="AB21">
        <f>HYPERLINK("https://klasma.github.io/Logging_0126/klagomålsmail/A 24262-2023 FSC-klagomål mail.docx", "A 24262-2023")</f>
        <v/>
      </c>
      <c r="AC21">
        <f>HYPERLINK("https://klasma.github.io/Logging_0126/tillsyn/A 24262-2023 tillsynsbegäran.docx", "A 24262-2023")</f>
        <v/>
      </c>
      <c r="AD21">
        <f>HYPERLINK("https://klasma.github.io/Logging_0126/tillsynsmail/A 24262-2023 tillsynsbegäran mail.docx", "A 24262-2023")</f>
        <v/>
      </c>
    </row>
    <row r="22" ht="15" customHeight="1">
      <c r="A22" t="inlineStr">
        <is>
          <t>A 31514-2026</t>
        </is>
      </c>
      <c r="B22" t="inlineStr">
        <is>
          <t>avverkningsanmälan</t>
        </is>
      </c>
      <c r="C22" t="inlineStr">
        <is>
          <t>Avverkning för annat ändamål</t>
        </is>
      </c>
      <c r="D22" s="1" t="n">
        <v>46223</v>
      </c>
      <c r="E22" s="1" t="n">
        <v>46275</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46275</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46275</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46275</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47173-2022</t>
        </is>
      </c>
      <c r="B26" t="inlineStr">
        <is>
          <t>avverkningsanmälan</t>
        </is>
      </c>
      <c r="C26" t="inlineStr">
        <is>
          <t>Föryngringsavverkning</t>
        </is>
      </c>
      <c r="D26" s="1" t="n">
        <v>44852</v>
      </c>
      <c r="E26" s="1" t="n">
        <v>46275</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46275</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27561-2025</t>
        </is>
      </c>
      <c r="B28" t="inlineStr">
        <is>
          <t>avverkningsanmälan</t>
        </is>
      </c>
      <c r="C28" t="inlineStr">
        <is>
          <t>Föryngringsavverkning</t>
        </is>
      </c>
      <c r="D28" s="1" t="n">
        <v>45813</v>
      </c>
      <c r="E28" s="1" t="n">
        <v>46275</v>
      </c>
      <c r="F28" t="inlineStr">
        <is>
          <t>STOCKHOLMS LÄN</t>
        </is>
      </c>
      <c r="G28" t="inlineStr">
        <is>
          <t>HUDDINGE</t>
        </is>
      </c>
      <c r="I28" t="n">
        <v>0.7</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46275</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46275</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46275</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46275</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2026-09-10T02:13:41Z</dcterms:created>
  <dcterms:modified xmlns:dcterms="http://purl.org/dc/terms/" xmlns:xsi="http://www.w3.org/2001/XMLSchema-instance" xsi:type="dcterms:W3CDTF">2026-09-10T02:13:41Z</dcterms:modified>
</cp:coreProperties>
</file>