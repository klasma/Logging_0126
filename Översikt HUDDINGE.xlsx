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45966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45966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45966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45966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45966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45966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17467-2024</t>
        </is>
      </c>
      <c r="B8" s="1" t="n">
        <v>45415.44597222222</v>
      </c>
      <c r="C8" s="1" t="n">
        <v>45966</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49419-2023</t>
        </is>
      </c>
      <c r="B9" s="1" t="n">
        <v>45211</v>
      </c>
      <c r="C9" s="1" t="n">
        <v>45966</v>
      </c>
      <c r="D9" t="inlineStr">
        <is>
          <t>STOCKHOLMS LÄN</t>
        </is>
      </c>
      <c r="E9" t="inlineStr">
        <is>
          <t>HUDDINGE</t>
        </is>
      </c>
      <c r="F9" t="inlineStr">
        <is>
          <t>Kommuner</t>
        </is>
      </c>
      <c r="G9" t="n">
        <v>1.9</v>
      </c>
      <c r="H9" t="n">
        <v>2</v>
      </c>
      <c r="I9" t="n">
        <v>0</v>
      </c>
      <c r="J9" t="n">
        <v>1</v>
      </c>
      <c r="K9" t="n">
        <v>0</v>
      </c>
      <c r="L9" t="n">
        <v>1</v>
      </c>
      <c r="M9" t="n">
        <v>0</v>
      </c>
      <c r="N9" t="n">
        <v>0</v>
      </c>
      <c r="O9" t="n">
        <v>2</v>
      </c>
      <c r="P9" t="n">
        <v>1</v>
      </c>
      <c r="Q9" t="n">
        <v>2</v>
      </c>
      <c r="R9" s="2" t="inlineStr">
        <is>
          <t>Grönfink
Ärtsångare</t>
        </is>
      </c>
      <c r="S9">
        <f>HYPERLINK("https://klasma.github.io/Logging_0126/artfynd/A 49419-2023 artfynd.xlsx", "A 49419-2023")</f>
        <v/>
      </c>
      <c r="T9">
        <f>HYPERLINK("https://klasma.github.io/Logging_0126/kartor/A 49419-2023 karta.png", "A 49419-2023")</f>
        <v/>
      </c>
      <c r="V9">
        <f>HYPERLINK("https://klasma.github.io/Logging_0126/klagomål/A 49419-2023 FSC-klagomål.docx", "A 49419-2023")</f>
        <v/>
      </c>
      <c r="W9">
        <f>HYPERLINK("https://klasma.github.io/Logging_0126/klagomålsmail/A 49419-2023 FSC-klagomål mail.docx", "A 49419-2023")</f>
        <v/>
      </c>
      <c r="X9">
        <f>HYPERLINK("https://klasma.github.io/Logging_0126/tillsyn/A 49419-2023 tillsynsbegäran.docx", "A 49419-2023")</f>
        <v/>
      </c>
      <c r="Y9">
        <f>HYPERLINK("https://klasma.github.io/Logging_0126/tillsynsmail/A 49419-2023 tillsynsbegäran mail.docx", "A 49419-2023")</f>
        <v/>
      </c>
      <c r="Z9">
        <f>HYPERLINK("https://klasma.github.io/Logging_0126/fåglar/A 49419-2023 prioriterade fågelarter.docx", "A 49419-2023")</f>
        <v/>
      </c>
    </row>
    <row r="10" ht="15" customHeight="1">
      <c r="A10" t="inlineStr">
        <is>
          <t>A 24368-2023</t>
        </is>
      </c>
      <c r="B10" s="1" t="n">
        <v>45076</v>
      </c>
      <c r="C10" s="1" t="n">
        <v>45966</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24233-2023</t>
        </is>
      </c>
      <c r="B11" s="1" t="n">
        <v>45076</v>
      </c>
      <c r="C11" s="1" t="n">
        <v>45966</v>
      </c>
      <c r="D11" t="inlineStr">
        <is>
          <t>STOCKHOLMS LÄN</t>
        </is>
      </c>
      <c r="E11" t="inlineStr">
        <is>
          <t>HUDDINGE</t>
        </is>
      </c>
      <c r="G11" t="n">
        <v>3.7</v>
      </c>
      <c r="H11" t="n">
        <v>0</v>
      </c>
      <c r="I11" t="n">
        <v>0</v>
      </c>
      <c r="J11" t="n">
        <v>1</v>
      </c>
      <c r="K11" t="n">
        <v>0</v>
      </c>
      <c r="L11" t="n">
        <v>0</v>
      </c>
      <c r="M11" t="n">
        <v>0</v>
      </c>
      <c r="N11" t="n">
        <v>0</v>
      </c>
      <c r="O11" t="n">
        <v>1</v>
      </c>
      <c r="P11" t="n">
        <v>0</v>
      </c>
      <c r="Q11" t="n">
        <v>1</v>
      </c>
      <c r="R11" s="2" t="inlineStr">
        <is>
          <t>Svartvit taggsvamp</t>
        </is>
      </c>
      <c r="S11">
        <f>HYPERLINK("https://klasma.github.io/Logging_0126/artfynd/A 24233-2023 artfynd.xlsx", "A 24233-2023")</f>
        <v/>
      </c>
      <c r="T11">
        <f>HYPERLINK("https://klasma.github.io/Logging_0126/kartor/A 24233-2023 karta.png", "A 24233-2023")</f>
        <v/>
      </c>
      <c r="V11">
        <f>HYPERLINK("https://klasma.github.io/Logging_0126/klagomål/A 24233-2023 FSC-klagomål.docx", "A 24233-2023")</f>
        <v/>
      </c>
      <c r="W11">
        <f>HYPERLINK("https://klasma.github.io/Logging_0126/klagomålsmail/A 24233-2023 FSC-klagomål mail.docx", "A 24233-2023")</f>
        <v/>
      </c>
      <c r="X11">
        <f>HYPERLINK("https://klasma.github.io/Logging_0126/tillsyn/A 24233-2023 tillsynsbegäran.docx", "A 24233-2023")</f>
        <v/>
      </c>
      <c r="Y11">
        <f>HYPERLINK("https://klasma.github.io/Logging_0126/tillsynsmail/A 24233-2023 tillsynsbegäran mail.docx", "A 24233-2023")</f>
        <v/>
      </c>
    </row>
    <row r="12" ht="15" customHeight="1">
      <c r="A12" t="inlineStr">
        <is>
          <t>A 49421-2023</t>
        </is>
      </c>
      <c r="B12" s="1" t="n">
        <v>45211</v>
      </c>
      <c r="C12" s="1" t="n">
        <v>45966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24384-2023</t>
        </is>
      </c>
      <c r="B13" s="1" t="n">
        <v>45076</v>
      </c>
      <c r="C13" s="1" t="n">
        <v>45966</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24262-2023</t>
        </is>
      </c>
      <c r="B14" s="1" t="n">
        <v>45076</v>
      </c>
      <c r="C14" s="1" t="n">
        <v>45966</v>
      </c>
      <c r="D14" t="inlineStr">
        <is>
          <t>STOCKHOLMS LÄN</t>
        </is>
      </c>
      <c r="E14" t="inlineStr">
        <is>
          <t>HUDDINGE</t>
        </is>
      </c>
      <c r="G14" t="n">
        <v>2.5</v>
      </c>
      <c r="H14" t="n">
        <v>0</v>
      </c>
      <c r="I14" t="n">
        <v>1</v>
      </c>
      <c r="J14" t="n">
        <v>0</v>
      </c>
      <c r="K14" t="n">
        <v>0</v>
      </c>
      <c r="L14" t="n">
        <v>0</v>
      </c>
      <c r="M14" t="n">
        <v>0</v>
      </c>
      <c r="N14" t="n">
        <v>0</v>
      </c>
      <c r="O14" t="n">
        <v>0</v>
      </c>
      <c r="P14" t="n">
        <v>0</v>
      </c>
      <c r="Q14" t="n">
        <v>1</v>
      </c>
      <c r="R14" s="2" t="inlineStr">
        <is>
          <t>Tibast</t>
        </is>
      </c>
      <c r="S14">
        <f>HYPERLINK("https://klasma.github.io/Logging_0126/artfynd/A 24262-2023 artfynd.xlsx", "A 24262-2023")</f>
        <v/>
      </c>
      <c r="T14">
        <f>HYPERLINK("https://klasma.github.io/Logging_0126/kartor/A 24262-2023 karta.png", "A 24262-2023")</f>
        <v/>
      </c>
      <c r="V14">
        <f>HYPERLINK("https://klasma.github.io/Logging_0126/klagomål/A 24262-2023 FSC-klagomål.docx", "A 24262-2023")</f>
        <v/>
      </c>
      <c r="W14">
        <f>HYPERLINK("https://klasma.github.io/Logging_0126/klagomålsmail/A 24262-2023 FSC-klagomål mail.docx", "A 24262-2023")</f>
        <v/>
      </c>
      <c r="X14">
        <f>HYPERLINK("https://klasma.github.io/Logging_0126/tillsyn/A 24262-2023 tillsynsbegäran.docx", "A 24262-2023")</f>
        <v/>
      </c>
      <c r="Y14">
        <f>HYPERLINK("https://klasma.github.io/Logging_0126/tillsynsmail/A 24262-2023 tillsynsbegäran mail.docx", "A 24262-2023")</f>
        <v/>
      </c>
    </row>
    <row r="15" ht="15" customHeight="1">
      <c r="A15" t="inlineStr">
        <is>
          <t>A 32508-2022</t>
        </is>
      </c>
      <c r="B15" s="1" t="n">
        <v>44782</v>
      </c>
      <c r="C15" s="1" t="n">
        <v>45966</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45966</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45966</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45966</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45966</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45966</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45966</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45966</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45966</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58260-2020</t>
        </is>
      </c>
      <c r="B24" s="1" t="n">
        <v>44144</v>
      </c>
      <c r="C24" s="1" t="n">
        <v>45966</v>
      </c>
      <c r="D24" t="inlineStr">
        <is>
          <t>STOCKHOLMS LÄN</t>
        </is>
      </c>
      <c r="E24" t="inlineStr">
        <is>
          <t>HUDDINGE</t>
        </is>
      </c>
      <c r="F24" t="inlineStr">
        <is>
          <t>Kommuner</t>
        </is>
      </c>
      <c r="G24" t="n">
        <v>1.5</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2025-11-05T10:11:33Z</dcterms:created>
  <dcterms:modified xmlns:dcterms="http://purl.org/dc/terms/" xmlns:xsi="http://www.w3.org/2001/XMLSchema-instance" xsi:type="dcterms:W3CDTF">2025-11-05T10:11:33Z</dcterms:modified>
</cp:coreProperties>
</file>