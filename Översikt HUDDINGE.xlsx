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40110-2025</t>
        </is>
      </c>
      <c r="B2" s="1" t="n">
        <v>45894.49097222222</v>
      </c>
      <c r="C2" s="1" t="n">
        <v>45930</v>
      </c>
      <c r="D2" t="inlineStr">
        <is>
          <t>STOCKHOLMS LÄN</t>
        </is>
      </c>
      <c r="E2" t="inlineStr">
        <is>
          <t>HUDDINGE</t>
        </is>
      </c>
      <c r="G2" t="n">
        <v>21.4</v>
      </c>
      <c r="H2" t="n">
        <v>2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Rosetticka
Rynkskinn
Ulltickeporing
Ekticka
Granticka
Motaggsvamp
Orange taggsvamp
Tallticka
Talltita
Ullticka
Björksplintborre
Fjällig taggsvamp s.str.
Granbarkgnagare
Stubbspretmossa
Thomsons trägnagare
Tjockfotad fingersvamp
Zontaggsvamp</t>
        </is>
      </c>
      <c r="S2">
        <f>HYPERLINK("https://klasma.github.io/Logging_0126/artfynd/A 40110-2025 artfynd.xlsx", "A 40110-2025")</f>
        <v/>
      </c>
      <c r="T2">
        <f>HYPERLINK("https://klasma.github.io/Logging_0126/kartor/A 40110-2025 karta.png", "A 40110-2025")</f>
        <v/>
      </c>
      <c r="U2">
        <f>HYPERLINK("https://klasma.github.io/Logging_0126/knärot/A 40110-2025 karta knärot.png", "A 40110-2025")</f>
        <v/>
      </c>
      <c r="V2">
        <f>HYPERLINK("https://klasma.github.io/Logging_0126/klagomål/A 40110-2025 FSC-klagomål.docx", "A 40110-2025")</f>
        <v/>
      </c>
      <c r="W2">
        <f>HYPERLINK("https://klasma.github.io/Logging_0126/klagomålsmail/A 40110-2025 FSC-klagomål mail.docx", "A 40110-2025")</f>
        <v/>
      </c>
      <c r="X2">
        <f>HYPERLINK("https://klasma.github.io/Logging_0126/tillsyn/A 40110-2025 tillsynsbegäran.docx", "A 40110-2025")</f>
        <v/>
      </c>
      <c r="Y2">
        <f>HYPERLINK("https://klasma.github.io/Logging_0126/tillsynsmail/A 40110-2025 tillsynsbegäran mail.docx", "A 40110-2025")</f>
        <v/>
      </c>
      <c r="Z2">
        <f>HYPERLINK("https://klasma.github.io/Logging_0126/fåglar/A 40110-2025 prioriterade fågelarter.docx", "A 40110-2025")</f>
        <v/>
      </c>
    </row>
    <row r="3" ht="15" customHeight="1">
      <c r="A3" t="inlineStr">
        <is>
          <t>A 9939-2021</t>
        </is>
      </c>
      <c r="B3" s="1" t="n">
        <v>44253</v>
      </c>
      <c r="C3" s="1" t="n">
        <v>45930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2.4</v>
      </c>
      <c r="H3" t="n">
        <v>14</v>
      </c>
      <c r="I3" t="n">
        <v>0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Grönfink
Gulsparv
Havsörn
Rödvingetrast
Rörsångare
Spillkråka
Svartvit flugsnappare
Talltita
Ärtsångare
Enkelbeckasin
Gröngöling
Göktyta
Järnsparv
Törnskata</t>
        </is>
      </c>
      <c r="S3">
        <f>HYPERLINK("https://klasma.github.io/Logging_0126/artfynd/A 9939-2021 artfynd.xlsx", "A 9939-2021")</f>
        <v/>
      </c>
      <c r="T3">
        <f>HYPERLINK("https://klasma.github.io/Logging_0126/kartor/A 9939-2021 karta.png", "A 9939-2021")</f>
        <v/>
      </c>
      <c r="V3">
        <f>HYPERLINK("https://klasma.github.io/Logging_0126/klagomål/A 9939-2021 FSC-klagomål.docx", "A 9939-2021")</f>
        <v/>
      </c>
      <c r="W3">
        <f>HYPERLINK("https://klasma.github.io/Logging_0126/klagomålsmail/A 9939-2021 FSC-klagomål mail.docx", "A 9939-2021")</f>
        <v/>
      </c>
      <c r="X3">
        <f>HYPERLINK("https://klasma.github.io/Logging_0126/tillsyn/A 9939-2021 tillsynsbegäran.docx", "A 9939-2021")</f>
        <v/>
      </c>
      <c r="Y3">
        <f>HYPERLINK("https://klasma.github.io/Logging_0126/tillsynsmail/A 9939-2021 tillsynsbegäran mail.docx", "A 9939-2021")</f>
        <v/>
      </c>
      <c r="Z3">
        <f>HYPERLINK("https://klasma.github.io/Logging_0126/fåglar/A 9939-2021 prioriterade fågelarter.docx", "A 9939-2021")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45930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45930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45930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45930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45930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45930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45930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45930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45930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45930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24233-2023</t>
        </is>
      </c>
      <c r="B14" s="1" t="n">
        <v>45076</v>
      </c>
      <c r="C14" s="1" t="n">
        <v>45930</v>
      </c>
      <c r="D14" t="inlineStr">
        <is>
          <t>STOCKHOLMS LÄN</t>
        </is>
      </c>
      <c r="E14" t="inlineStr">
        <is>
          <t>HUDDINGE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taggsvamp</t>
        </is>
      </c>
      <c r="S14">
        <f>HYPERLINK("https://klasma.github.io/Logging_0126/artfynd/A 24233-2023 artfynd.xlsx", "A 24233-2023")</f>
        <v/>
      </c>
      <c r="T14">
        <f>HYPERLINK("https://klasma.github.io/Logging_0126/kartor/A 24233-2023 karta.png", "A 24233-2023")</f>
        <v/>
      </c>
      <c r="V14">
        <f>HYPERLINK("https://klasma.github.io/Logging_0126/klagomål/A 24233-2023 FSC-klagomål.docx", "A 24233-2023")</f>
        <v/>
      </c>
      <c r="W14">
        <f>HYPERLINK("https://klasma.github.io/Logging_0126/klagomålsmail/A 24233-2023 FSC-klagomål mail.docx", "A 24233-2023")</f>
        <v/>
      </c>
      <c r="X14">
        <f>HYPERLINK("https://klasma.github.io/Logging_0126/tillsyn/A 24233-2023 tillsynsbegäran.docx", "A 24233-2023")</f>
        <v/>
      </c>
      <c r="Y14">
        <f>HYPERLINK("https://klasma.github.io/Logging_0126/tillsynsmail/A 24233-2023 tillsynsbegäran mail.docx", "A 24233-2023")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45930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45930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45930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45930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45930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47173-2022</t>
        </is>
      </c>
      <c r="B20" s="1" t="n">
        <v>44852</v>
      </c>
      <c r="C20" s="1" t="n">
        <v>45930</v>
      </c>
      <c r="D20" t="inlineStr">
        <is>
          <t>STOCKHOLMS LÄN</t>
        </is>
      </c>
      <c r="E20" t="inlineStr">
        <is>
          <t>HUDDINGE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45930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45930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31246-2022</t>
        </is>
      </c>
      <c r="B23" s="1" t="n">
        <v>44771</v>
      </c>
      <c r="C23" s="1" t="n">
        <v>45930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45930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