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46038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46038</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46038</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46038</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46038</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46038</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46038</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46038</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24262-2023</t>
        </is>
      </c>
      <c r="B10" s="1" t="n">
        <v>45076</v>
      </c>
      <c r="C10" s="1" t="n">
        <v>46038</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24384-2023</t>
        </is>
      </c>
      <c r="B11" s="1" t="n">
        <v>45076</v>
      </c>
      <c r="C11" s="1" t="n">
        <v>46038</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24368-2023</t>
        </is>
      </c>
      <c r="B12" s="1" t="n">
        <v>45076</v>
      </c>
      <c r="C12" s="1" t="n">
        <v>46038</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49421-2023</t>
        </is>
      </c>
      <c r="B13" s="1" t="n">
        <v>45211</v>
      </c>
      <c r="C13" s="1" t="n">
        <v>46038</v>
      </c>
      <c r="D13" t="inlineStr">
        <is>
          <t>STOCKHOLMS LÄN</t>
        </is>
      </c>
      <c r="E13" t="inlineStr">
        <is>
          <t>HUDDINGE</t>
        </is>
      </c>
      <c r="F13" t="inlineStr">
        <is>
          <t>Kommuner</t>
        </is>
      </c>
      <c r="G13" t="n">
        <v>1.4</v>
      </c>
      <c r="H13" t="n">
        <v>1</v>
      </c>
      <c r="I13" t="n">
        <v>0</v>
      </c>
      <c r="J13" t="n">
        <v>0</v>
      </c>
      <c r="K13" t="n">
        <v>0</v>
      </c>
      <c r="L13" t="n">
        <v>1</v>
      </c>
      <c r="M13" t="n">
        <v>0</v>
      </c>
      <c r="N13" t="n">
        <v>0</v>
      </c>
      <c r="O13" t="n">
        <v>1</v>
      </c>
      <c r="P13" t="n">
        <v>1</v>
      </c>
      <c r="Q13" t="n">
        <v>1</v>
      </c>
      <c r="R13" s="2" t="inlineStr">
        <is>
          <t>Grönfink</t>
        </is>
      </c>
      <c r="S13">
        <f>HYPERLINK("https://klasma.github.io/Logging_0126/artfynd/A 49421-2023 artfynd.xlsx", "A 49421-2023")</f>
        <v/>
      </c>
      <c r="T13">
        <f>HYPERLINK("https://klasma.github.io/Logging_0126/kartor/A 49421-2023 karta.png", "A 49421-2023")</f>
        <v/>
      </c>
      <c r="V13">
        <f>HYPERLINK("https://klasma.github.io/Logging_0126/klagomål/A 49421-2023 FSC-klagomål.docx", "A 49421-2023")</f>
        <v/>
      </c>
      <c r="W13">
        <f>HYPERLINK("https://klasma.github.io/Logging_0126/klagomålsmail/A 49421-2023 FSC-klagomål mail.docx", "A 49421-2023")</f>
        <v/>
      </c>
      <c r="X13">
        <f>HYPERLINK("https://klasma.github.io/Logging_0126/tillsyn/A 49421-2023 tillsynsbegäran.docx", "A 49421-2023")</f>
        <v/>
      </c>
      <c r="Y13">
        <f>HYPERLINK("https://klasma.github.io/Logging_0126/tillsynsmail/A 49421-2023 tillsynsbegäran mail.docx", "A 49421-2023")</f>
        <v/>
      </c>
      <c r="Z13">
        <f>HYPERLINK("https://klasma.github.io/Logging_0126/fåglar/A 49421-2023 prioriterade fågelarter.docx", "A 49421-2023")</f>
        <v/>
      </c>
    </row>
    <row r="14" ht="15" customHeight="1">
      <c r="A14" t="inlineStr">
        <is>
          <t>A 491-2026</t>
        </is>
      </c>
      <c r="B14" s="1" t="n">
        <v>46029.42581018519</v>
      </c>
      <c r="C14" s="1" t="n">
        <v>46038</v>
      </c>
      <c r="D14" t="inlineStr">
        <is>
          <t>STOCKHOLMS LÄN</t>
        </is>
      </c>
      <c r="E14" t="inlineStr">
        <is>
          <t>HUDDINGE</t>
        </is>
      </c>
      <c r="G14" t="n">
        <v>3.2</v>
      </c>
      <c r="H14" t="n">
        <v>1</v>
      </c>
      <c r="I14" t="n">
        <v>0</v>
      </c>
      <c r="J14" t="n">
        <v>0</v>
      </c>
      <c r="K14" t="n">
        <v>0</v>
      </c>
      <c r="L14" t="n">
        <v>0</v>
      </c>
      <c r="M14" t="n">
        <v>0</v>
      </c>
      <c r="N14" t="n">
        <v>0</v>
      </c>
      <c r="O14" t="n">
        <v>0</v>
      </c>
      <c r="P14" t="n">
        <v>0</v>
      </c>
      <c r="Q14" t="n">
        <v>1</v>
      </c>
      <c r="R14" s="2" t="inlineStr">
        <is>
          <t>Blåsippa</t>
        </is>
      </c>
      <c r="S14">
        <f>HYPERLINK("https://klasma.github.io/Logging_0126/artfynd/A 491-2026 artfynd.xlsx", "A 491-2026")</f>
        <v/>
      </c>
      <c r="T14">
        <f>HYPERLINK("https://klasma.github.io/Logging_0126/kartor/A 491-2026 karta.png", "A 491-2026")</f>
        <v/>
      </c>
      <c r="V14">
        <f>HYPERLINK("https://klasma.github.io/Logging_0126/klagomål/A 491-2026 FSC-klagomål.docx", "A 491-2026")</f>
        <v/>
      </c>
      <c r="W14">
        <f>HYPERLINK("https://klasma.github.io/Logging_0126/klagomålsmail/A 491-2026 FSC-klagomål mail.docx", "A 491-2026")</f>
        <v/>
      </c>
      <c r="X14">
        <f>HYPERLINK("https://klasma.github.io/Logging_0126/tillsyn/A 491-2026 tillsynsbegäran.docx", "A 491-2026")</f>
        <v/>
      </c>
      <c r="Y14">
        <f>HYPERLINK("https://klasma.github.io/Logging_0126/tillsynsmail/A 491-2026 tillsynsbegäran mail.docx", "A 491-2026")</f>
        <v/>
      </c>
    </row>
    <row r="15" ht="15" customHeight="1">
      <c r="A15" t="inlineStr">
        <is>
          <t>A 24233-2023</t>
        </is>
      </c>
      <c r="B15" s="1" t="n">
        <v>45076</v>
      </c>
      <c r="C15" s="1" t="n">
        <v>46038</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46038</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46038</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46038</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46038</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46038</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46038</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46038</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ht="15" customHeight="1">
      <c r="A23" t="inlineStr">
        <is>
          <t>A 27561-2025</t>
        </is>
      </c>
      <c r="B23" s="1" t="n">
        <v>45813.48378472222</v>
      </c>
      <c r="C23" s="1" t="n">
        <v>46038</v>
      </c>
      <c r="D23" t="inlineStr">
        <is>
          <t>STOCKHOLMS LÄN</t>
        </is>
      </c>
      <c r="E23" t="inlineStr">
        <is>
          <t>HUDDINGE</t>
        </is>
      </c>
      <c r="G23" t="n">
        <v>0.7</v>
      </c>
      <c r="H23" t="n">
        <v>0</v>
      </c>
      <c r="I23" t="n">
        <v>0</v>
      </c>
      <c r="J23" t="n">
        <v>0</v>
      </c>
      <c r="K23" t="n">
        <v>0</v>
      </c>
      <c r="L23" t="n">
        <v>0</v>
      </c>
      <c r="M23" t="n">
        <v>0</v>
      </c>
      <c r="N23" t="n">
        <v>0</v>
      </c>
      <c r="O23" t="n">
        <v>0</v>
      </c>
      <c r="P23" t="n">
        <v>0</v>
      </c>
      <c r="Q23" t="n">
        <v>0</v>
      </c>
      <c r="R23" s="2" t="inlineStr"/>
    </row>
    <row r="24">
      <c r="A24" t="inlineStr">
        <is>
          <t>A 27589-2025</t>
        </is>
      </c>
      <c r="B24" s="1" t="n">
        <v>45813.51070601852</v>
      </c>
      <c r="C24" s="1" t="n">
        <v>46038</v>
      </c>
      <c r="D24" t="inlineStr">
        <is>
          <t>STOCKHOLMS LÄN</t>
        </is>
      </c>
      <c r="E24" t="inlineStr">
        <is>
          <t>HUDDINGE</t>
        </is>
      </c>
      <c r="G24" t="n">
        <v>2.7</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2026-01-16T10:57:10Z</dcterms:created>
  <dcterms:modified xmlns:dcterms="http://purl.org/dc/terms/" xmlns:xsi="http://www.w3.org/2001/XMLSchema-instance" xsi:type="dcterms:W3CDTF">2026-01-16T10:57:10Z</dcterms:modified>
</cp:coreProperties>
</file>