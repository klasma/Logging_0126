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46201</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46201</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46201</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46201</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46201</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46201</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46201</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46201</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46201</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46201</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46201</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46201</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46201</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24257-2023</t>
        </is>
      </c>
      <c r="B15" s="1" t="n">
        <v>45076</v>
      </c>
      <c r="C15" s="1" t="n">
        <v>46201</v>
      </c>
      <c r="D15" t="inlineStr">
        <is>
          <t>STOCKHOLMS LÄN</t>
        </is>
      </c>
      <c r="E15" t="inlineStr">
        <is>
          <t>HUDDINGE</t>
        </is>
      </c>
      <c r="G15" t="n">
        <v>1</v>
      </c>
      <c r="H15" t="n">
        <v>0</v>
      </c>
      <c r="I15" t="n">
        <v>0</v>
      </c>
      <c r="J15" t="n">
        <v>1</v>
      </c>
      <c r="K15" t="n">
        <v>0</v>
      </c>
      <c r="L15" t="n">
        <v>0</v>
      </c>
      <c r="M15" t="n">
        <v>0</v>
      </c>
      <c r="N15" t="n">
        <v>0</v>
      </c>
      <c r="O15" t="n">
        <v>1</v>
      </c>
      <c r="P15" t="n">
        <v>0</v>
      </c>
      <c r="Q15" t="n">
        <v>1</v>
      </c>
      <c r="R15" s="2" t="inlineStr">
        <is>
          <t>Kolflarnlav</t>
        </is>
      </c>
      <c r="S15">
        <f>HYPERLINK("https://klasma.github.io/Logging_0126/artfynd/A 24257-2023 artfynd.xlsx", "A 24257-2023")</f>
        <v/>
      </c>
      <c r="T15">
        <f>HYPERLINK("https://klasma.github.io/Logging_0126/kartor/A 24257-2023 karta.png", "A 24257-2023")</f>
        <v/>
      </c>
      <c r="V15">
        <f>HYPERLINK("https://klasma.github.io/Logging_0126/klagomål/A 24257-2023 FSC-klagomål.docx", "A 24257-2023")</f>
        <v/>
      </c>
      <c r="W15">
        <f>HYPERLINK("https://klasma.github.io/Logging_0126/klagomålsmail/A 24257-2023 FSC-klagomål mail.docx", "A 24257-2023")</f>
        <v/>
      </c>
      <c r="X15">
        <f>HYPERLINK("https://klasma.github.io/Logging_0126/tillsyn/A 24257-2023 tillsynsbegäran.docx", "A 24257-2023")</f>
        <v/>
      </c>
      <c r="Y15">
        <f>HYPERLINK("https://klasma.github.io/Logging_0126/tillsynsmail/A 24257-2023 tillsynsbegäran mail.docx", "A 24257-2023")</f>
        <v/>
      </c>
    </row>
    <row r="16" ht="15" customHeight="1">
      <c r="A16" t="inlineStr">
        <is>
          <t>A 24262-2023</t>
        </is>
      </c>
      <c r="B16" s="1" t="n">
        <v>45076</v>
      </c>
      <c r="C16" s="1" t="n">
        <v>46201</v>
      </c>
      <c r="D16" t="inlineStr">
        <is>
          <t>STOCKHOLMS LÄN</t>
        </is>
      </c>
      <c r="E16" t="inlineStr">
        <is>
          <t>HUDDINGE</t>
        </is>
      </c>
      <c r="G16" t="n">
        <v>2.5</v>
      </c>
      <c r="H16" t="n">
        <v>0</v>
      </c>
      <c r="I16" t="n">
        <v>1</v>
      </c>
      <c r="J16" t="n">
        <v>0</v>
      </c>
      <c r="K16" t="n">
        <v>0</v>
      </c>
      <c r="L16" t="n">
        <v>0</v>
      </c>
      <c r="M16" t="n">
        <v>0</v>
      </c>
      <c r="N16" t="n">
        <v>0</v>
      </c>
      <c r="O16" t="n">
        <v>0</v>
      </c>
      <c r="P16" t="n">
        <v>0</v>
      </c>
      <c r="Q16" t="n">
        <v>1</v>
      </c>
      <c r="R16" s="2" t="inlineStr">
        <is>
          <t>Tibast</t>
        </is>
      </c>
      <c r="S16">
        <f>HYPERLINK("https://klasma.github.io/Logging_0126/artfynd/A 24262-2023 artfynd.xlsx", "A 24262-2023")</f>
        <v/>
      </c>
      <c r="T16">
        <f>HYPERLINK("https://klasma.github.io/Logging_0126/kartor/A 24262-2023 karta.png", "A 24262-2023")</f>
        <v/>
      </c>
      <c r="V16">
        <f>HYPERLINK("https://klasma.github.io/Logging_0126/klagomål/A 24262-2023 FSC-klagomål.docx", "A 24262-2023")</f>
        <v/>
      </c>
      <c r="W16">
        <f>HYPERLINK("https://klasma.github.io/Logging_0126/klagomålsmail/A 24262-2023 FSC-klagomål mail.docx", "A 24262-2023")</f>
        <v/>
      </c>
      <c r="X16">
        <f>HYPERLINK("https://klasma.github.io/Logging_0126/tillsyn/A 24262-2023 tillsynsbegäran.docx", "A 24262-2023")</f>
        <v/>
      </c>
      <c r="Y16">
        <f>HYPERLINK("https://klasma.github.io/Logging_0126/tillsynsmail/A 24262-2023 tillsynsbegäran mail.docx", "A 24262-2023")</f>
        <v/>
      </c>
    </row>
    <row r="17" ht="15" customHeight="1">
      <c r="A17" t="inlineStr">
        <is>
          <t>A 24233-2023</t>
        </is>
      </c>
      <c r="B17" s="1" t="n">
        <v>45076</v>
      </c>
      <c r="C17" s="1" t="n">
        <v>46201</v>
      </c>
      <c r="D17" t="inlineStr">
        <is>
          <t>STOCKHOLMS LÄN</t>
        </is>
      </c>
      <c r="E17" t="inlineStr">
        <is>
          <t>HUDDINGE</t>
        </is>
      </c>
      <c r="G17" t="n">
        <v>3.7</v>
      </c>
      <c r="H17" t="n">
        <v>0</v>
      </c>
      <c r="I17" t="n">
        <v>0</v>
      </c>
      <c r="J17" t="n">
        <v>1</v>
      </c>
      <c r="K17" t="n">
        <v>0</v>
      </c>
      <c r="L17" t="n">
        <v>0</v>
      </c>
      <c r="M17" t="n">
        <v>0</v>
      </c>
      <c r="N17" t="n">
        <v>0</v>
      </c>
      <c r="O17" t="n">
        <v>1</v>
      </c>
      <c r="P17" t="n">
        <v>0</v>
      </c>
      <c r="Q17" t="n">
        <v>1</v>
      </c>
      <c r="R17" s="2" t="inlineStr">
        <is>
          <t>Svartvit taggsvamp</t>
        </is>
      </c>
      <c r="S17">
        <f>HYPERLINK("https://klasma.github.io/Logging_0126/artfynd/A 24233-2023 artfynd.xlsx", "A 24233-2023")</f>
        <v/>
      </c>
      <c r="T17">
        <f>HYPERLINK("https://klasma.github.io/Logging_0126/kartor/A 24233-2023 karta.png", "A 24233-2023")</f>
        <v/>
      </c>
      <c r="V17">
        <f>HYPERLINK("https://klasma.github.io/Logging_0126/klagomål/A 24233-2023 FSC-klagomål.docx", "A 24233-2023")</f>
        <v/>
      </c>
      <c r="W17">
        <f>HYPERLINK("https://klasma.github.io/Logging_0126/klagomålsmail/A 24233-2023 FSC-klagomål mail.docx", "A 24233-2023")</f>
        <v/>
      </c>
      <c r="X17">
        <f>HYPERLINK("https://klasma.github.io/Logging_0126/tillsyn/A 24233-2023 tillsynsbegäran.docx", "A 24233-2023")</f>
        <v/>
      </c>
      <c r="Y17">
        <f>HYPERLINK("https://klasma.github.io/Logging_0126/tillsynsmail/A 24233-2023 tillsynsbegäran mail.docx", "A 24233-2023")</f>
        <v/>
      </c>
    </row>
    <row r="18" ht="15" customHeight="1">
      <c r="A18" t="inlineStr">
        <is>
          <t>A 24363-2023</t>
        </is>
      </c>
      <c r="B18" s="1" t="n">
        <v>45076</v>
      </c>
      <c r="C18" s="1" t="n">
        <v>46201</v>
      </c>
      <c r="D18" t="inlineStr">
        <is>
          <t>STOCKHOLMS LÄN</t>
        </is>
      </c>
      <c r="E18" t="inlineStr">
        <is>
          <t>HUDDINGE</t>
        </is>
      </c>
      <c r="G18" t="n">
        <v>2.4</v>
      </c>
      <c r="H18" t="n">
        <v>1</v>
      </c>
      <c r="I18" t="n">
        <v>0</v>
      </c>
      <c r="J18" t="n">
        <v>0</v>
      </c>
      <c r="K18" t="n">
        <v>0</v>
      </c>
      <c r="L18" t="n">
        <v>0</v>
      </c>
      <c r="M18" t="n">
        <v>0</v>
      </c>
      <c r="N18" t="n">
        <v>0</v>
      </c>
      <c r="O18" t="n">
        <v>0</v>
      </c>
      <c r="P18" t="n">
        <v>0</v>
      </c>
      <c r="Q18" t="n">
        <v>1</v>
      </c>
      <c r="R18" s="2" t="inlineStr">
        <is>
          <t>Revlummer</t>
        </is>
      </c>
      <c r="S18">
        <f>HYPERLINK("https://klasma.github.io/Logging_0126/artfynd/A 24363-2023 artfynd.xlsx", "A 24363-2023")</f>
        <v/>
      </c>
      <c r="T18">
        <f>HYPERLINK("https://klasma.github.io/Logging_0126/kartor/A 24363-2023 karta.png", "A 24363-2023")</f>
        <v/>
      </c>
      <c r="V18">
        <f>HYPERLINK("https://klasma.github.io/Logging_0126/klagomål/A 24363-2023 FSC-klagomål.docx", "A 24363-2023")</f>
        <v/>
      </c>
      <c r="W18">
        <f>HYPERLINK("https://klasma.github.io/Logging_0126/klagomålsmail/A 24363-2023 FSC-klagomål mail.docx", "A 24363-2023")</f>
        <v/>
      </c>
      <c r="X18">
        <f>HYPERLINK("https://klasma.github.io/Logging_0126/tillsyn/A 24363-2023 tillsynsbegäran.docx", "A 24363-2023")</f>
        <v/>
      </c>
      <c r="Y18">
        <f>HYPERLINK("https://klasma.github.io/Logging_0126/tillsynsmail/A 24363-2023 tillsynsbegäran mail.docx", "A 24363-2023")</f>
        <v/>
      </c>
    </row>
    <row r="19" ht="15" customHeight="1">
      <c r="A19" t="inlineStr">
        <is>
          <t>A 491-2026</t>
        </is>
      </c>
      <c r="B19" s="1" t="n">
        <v>46029</v>
      </c>
      <c r="C19" s="1" t="n">
        <v>46201</v>
      </c>
      <c r="D19" t="inlineStr">
        <is>
          <t>STOCKHOLMS LÄN</t>
        </is>
      </c>
      <c r="E19" t="inlineStr">
        <is>
          <t>HUDDINGE</t>
        </is>
      </c>
      <c r="G19" t="n">
        <v>3.2</v>
      </c>
      <c r="H19" t="n">
        <v>1</v>
      </c>
      <c r="I19" t="n">
        <v>0</v>
      </c>
      <c r="J19" t="n">
        <v>0</v>
      </c>
      <c r="K19" t="n">
        <v>0</v>
      </c>
      <c r="L19" t="n">
        <v>0</v>
      </c>
      <c r="M19" t="n">
        <v>0</v>
      </c>
      <c r="N19" t="n">
        <v>0</v>
      </c>
      <c r="O19" t="n">
        <v>0</v>
      </c>
      <c r="P19" t="n">
        <v>0</v>
      </c>
      <c r="Q19" t="n">
        <v>1</v>
      </c>
      <c r="R19" s="2" t="inlineStr">
        <is>
          <t>Blåsippa</t>
        </is>
      </c>
      <c r="S19">
        <f>HYPERLINK("https://klasma.github.io/Logging_0126/artfynd/A 491-2026 artfynd.xlsx", "A 491-2026")</f>
        <v/>
      </c>
      <c r="T19">
        <f>HYPERLINK("https://klasma.github.io/Logging_0126/kartor/A 491-2026 karta.png", "A 491-2026")</f>
        <v/>
      </c>
      <c r="V19">
        <f>HYPERLINK("https://klasma.github.io/Logging_0126/klagomål/A 491-2026 FSC-klagomål.docx", "A 491-2026")</f>
        <v/>
      </c>
      <c r="W19">
        <f>HYPERLINK("https://klasma.github.io/Logging_0126/klagomålsmail/A 491-2026 FSC-klagomål mail.docx", "A 491-2026")</f>
        <v/>
      </c>
      <c r="X19">
        <f>HYPERLINK("https://klasma.github.io/Logging_0126/tillsyn/A 491-2026 tillsynsbegäran.docx", "A 491-2026")</f>
        <v/>
      </c>
      <c r="Y19">
        <f>HYPERLINK("https://klasma.github.io/Logging_0126/tillsynsmail/A 491-2026 tillsynsbegäran mail.docx", "A 491-2026")</f>
        <v/>
      </c>
    </row>
    <row r="20" ht="15" customHeight="1">
      <c r="A20" t="inlineStr">
        <is>
          <t>A 35404-2022</t>
        </is>
      </c>
      <c r="B20" s="1" t="n">
        <v>44798</v>
      </c>
      <c r="C20" s="1" t="n">
        <v>46201</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27561-2025</t>
        </is>
      </c>
      <c r="B21" s="1" t="n">
        <v>45813</v>
      </c>
      <c r="C21" s="1" t="n">
        <v>46201</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46201</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c r="A23" t="inlineStr">
        <is>
          <t>A 31246-2022</t>
        </is>
      </c>
      <c r="B23" s="1" t="n">
        <v>44771</v>
      </c>
      <c r="C23" s="1" t="n">
        <v>46201</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2026-06-28T00:57:43Z</dcterms:created>
  <dcterms:modified xmlns:dcterms="http://purl.org/dc/terms/" xmlns:xsi="http://www.w3.org/2001/XMLSchema-instance" xsi:type="dcterms:W3CDTF">2026-06-28T00:57:43Z</dcterms:modified>
</cp:coreProperties>
</file>