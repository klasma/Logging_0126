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46040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46040</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46040</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46040</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46040</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46040</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46040</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46040</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46040</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491-2026</t>
        </is>
      </c>
      <c r="B11" s="1" t="n">
        <v>46029.42581018519</v>
      </c>
      <c r="C11" s="1" t="n">
        <v>46040</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24262-2023</t>
        </is>
      </c>
      <c r="B12" s="1" t="n">
        <v>45076</v>
      </c>
      <c r="C12" s="1" t="n">
        <v>46040</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24384-2023</t>
        </is>
      </c>
      <c r="B13" s="1" t="n">
        <v>45076</v>
      </c>
      <c r="C13" s="1" t="n">
        <v>46040</v>
      </c>
      <c r="D13" t="inlineStr">
        <is>
          <t>STOCKHOLMS LÄN</t>
        </is>
      </c>
      <c r="E13" t="inlineStr">
        <is>
          <t>HUDDINGE</t>
        </is>
      </c>
      <c r="G13" t="n">
        <v>1</v>
      </c>
      <c r="H13" t="n">
        <v>0</v>
      </c>
      <c r="I13" t="n">
        <v>0</v>
      </c>
      <c r="J13" t="n">
        <v>1</v>
      </c>
      <c r="K13" t="n">
        <v>0</v>
      </c>
      <c r="L13" t="n">
        <v>0</v>
      </c>
      <c r="M13" t="n">
        <v>0</v>
      </c>
      <c r="N13" t="n">
        <v>0</v>
      </c>
      <c r="O13" t="n">
        <v>1</v>
      </c>
      <c r="P13" t="n">
        <v>0</v>
      </c>
      <c r="Q13" t="n">
        <v>1</v>
      </c>
      <c r="R13" s="2" t="inlineStr">
        <is>
          <t>Kolflarnlav</t>
        </is>
      </c>
      <c r="S13">
        <f>HYPERLINK("https://klasma.github.io/Logging_0126/artfynd/A 24384-2023 artfynd.xlsx", "A 24384-2023")</f>
        <v/>
      </c>
      <c r="T13">
        <f>HYPERLINK("https://klasma.github.io/Logging_0126/kartor/A 24384-2023 karta.png", "A 24384-2023")</f>
        <v/>
      </c>
      <c r="V13">
        <f>HYPERLINK("https://klasma.github.io/Logging_0126/klagomål/A 24384-2023 FSC-klagomål.docx", "A 24384-2023")</f>
        <v/>
      </c>
      <c r="W13">
        <f>HYPERLINK("https://klasma.github.io/Logging_0126/klagomålsmail/A 24384-2023 FSC-klagomål mail.docx", "A 24384-2023")</f>
        <v/>
      </c>
      <c r="X13">
        <f>HYPERLINK("https://klasma.github.io/Logging_0126/tillsyn/A 24384-2023 tillsynsbegäran.docx", "A 24384-2023")</f>
        <v/>
      </c>
      <c r="Y13">
        <f>HYPERLINK("https://klasma.github.io/Logging_0126/tillsynsmail/A 24384-2023 tillsynsbegäran mail.docx", "A 24384-2023")</f>
        <v/>
      </c>
    </row>
    <row r="14" ht="15" customHeight="1">
      <c r="A14" t="inlineStr">
        <is>
          <t>A 24368-2023</t>
        </is>
      </c>
      <c r="B14" s="1" t="n">
        <v>45076</v>
      </c>
      <c r="C14" s="1" t="n">
        <v>46040</v>
      </c>
      <c r="D14" t="inlineStr">
        <is>
          <t>STOCKHOLMS LÄN</t>
        </is>
      </c>
      <c r="E14" t="inlineStr">
        <is>
          <t>HUDDINGE</t>
        </is>
      </c>
      <c r="G14" t="n">
        <v>3</v>
      </c>
      <c r="H14" t="n">
        <v>1</v>
      </c>
      <c r="I14" t="n">
        <v>1</v>
      </c>
      <c r="J14" t="n">
        <v>0</v>
      </c>
      <c r="K14" t="n">
        <v>0</v>
      </c>
      <c r="L14" t="n">
        <v>0</v>
      </c>
      <c r="M14" t="n">
        <v>0</v>
      </c>
      <c r="N14" t="n">
        <v>0</v>
      </c>
      <c r="O14" t="n">
        <v>0</v>
      </c>
      <c r="P14" t="n">
        <v>0</v>
      </c>
      <c r="Q14" t="n">
        <v>1</v>
      </c>
      <c r="R14" s="2" t="inlineStr">
        <is>
          <t>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24233-2023</t>
        </is>
      </c>
      <c r="B15" s="1" t="n">
        <v>45076</v>
      </c>
      <c r="C15" s="1" t="n">
        <v>46040</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46040</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47173-2022</t>
        </is>
      </c>
      <c r="B17" s="1" t="n">
        <v>44852</v>
      </c>
      <c r="C17" s="1" t="n">
        <v>46040</v>
      </c>
      <c r="D17" t="inlineStr">
        <is>
          <t>STOCKHOLMS LÄN</t>
        </is>
      </c>
      <c r="E17" t="inlineStr">
        <is>
          <t>HUDDINGE</t>
        </is>
      </c>
      <c r="G17" t="n">
        <v>1.9</v>
      </c>
      <c r="H17" t="n">
        <v>0</v>
      </c>
      <c r="I17" t="n">
        <v>0</v>
      </c>
      <c r="J17" t="n">
        <v>0</v>
      </c>
      <c r="K17" t="n">
        <v>0</v>
      </c>
      <c r="L17" t="n">
        <v>0</v>
      </c>
      <c r="M17" t="n">
        <v>0</v>
      </c>
      <c r="N17" t="n">
        <v>0</v>
      </c>
      <c r="O17" t="n">
        <v>0</v>
      </c>
      <c r="P17" t="n">
        <v>0</v>
      </c>
      <c r="Q17" t="n">
        <v>0</v>
      </c>
      <c r="R17" s="2" t="inlineStr"/>
    </row>
    <row r="18" ht="15" customHeight="1">
      <c r="A18" t="inlineStr">
        <is>
          <t>A 31246-2022</t>
        </is>
      </c>
      <c r="B18" s="1" t="n">
        <v>44771</v>
      </c>
      <c r="C18" s="1" t="n">
        <v>46040</v>
      </c>
      <c r="D18" t="inlineStr">
        <is>
          <t>STOCKHOLMS LÄN</t>
        </is>
      </c>
      <c r="E18" t="inlineStr">
        <is>
          <t>HUDDINGE</t>
        </is>
      </c>
      <c r="G18" t="n">
        <v>4.3</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46040</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46040</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24254-2023</t>
        </is>
      </c>
      <c r="B21" s="1" t="n">
        <v>45076</v>
      </c>
      <c r="C21" s="1" t="n">
        <v>46040</v>
      </c>
      <c r="D21" t="inlineStr">
        <is>
          <t>STOCKHOLMS LÄN</t>
        </is>
      </c>
      <c r="E21" t="inlineStr">
        <is>
          <t>HUDDINGE</t>
        </is>
      </c>
      <c r="G21" t="n">
        <v>1.2</v>
      </c>
      <c r="H21" t="n">
        <v>0</v>
      </c>
      <c r="I21" t="n">
        <v>0</v>
      </c>
      <c r="J21" t="n">
        <v>0</v>
      </c>
      <c r="K21" t="n">
        <v>0</v>
      </c>
      <c r="L21" t="n">
        <v>0</v>
      </c>
      <c r="M21" t="n">
        <v>0</v>
      </c>
      <c r="N21" t="n">
        <v>0</v>
      </c>
      <c r="O21" t="n">
        <v>0</v>
      </c>
      <c r="P21" t="n">
        <v>0</v>
      </c>
      <c r="Q21" t="n">
        <v>0</v>
      </c>
      <c r="R21" s="2" t="inlineStr"/>
    </row>
    <row r="22" ht="15" customHeight="1">
      <c r="A22" t="inlineStr">
        <is>
          <t>A 24257-2023</t>
        </is>
      </c>
      <c r="B22" s="1" t="n">
        <v>45076</v>
      </c>
      <c r="C22" s="1" t="n">
        <v>46040</v>
      </c>
      <c r="D22" t="inlineStr">
        <is>
          <t>STOCKHOLMS LÄN</t>
        </is>
      </c>
      <c r="E22" t="inlineStr">
        <is>
          <t>HUDDINGE</t>
        </is>
      </c>
      <c r="G22" t="n">
        <v>1</v>
      </c>
      <c r="H22" t="n">
        <v>0</v>
      </c>
      <c r="I22" t="n">
        <v>0</v>
      </c>
      <c r="J22" t="n">
        <v>0</v>
      </c>
      <c r="K22" t="n">
        <v>0</v>
      </c>
      <c r="L22" t="n">
        <v>0</v>
      </c>
      <c r="M22" t="n">
        <v>0</v>
      </c>
      <c r="N22" t="n">
        <v>0</v>
      </c>
      <c r="O22" t="n">
        <v>0</v>
      </c>
      <c r="P22" t="n">
        <v>0</v>
      </c>
      <c r="Q22" t="n">
        <v>0</v>
      </c>
      <c r="R22" s="2" t="inlineStr"/>
    </row>
    <row r="23" ht="15" customHeight="1">
      <c r="A23" t="inlineStr">
        <is>
          <t>A 27589-2025</t>
        </is>
      </c>
      <c r="B23" s="1" t="n">
        <v>45813.51070601852</v>
      </c>
      <c r="C23" s="1" t="n">
        <v>46040</v>
      </c>
      <c r="D23" t="inlineStr">
        <is>
          <t>STOCKHOLMS LÄN</t>
        </is>
      </c>
      <c r="E23" t="inlineStr">
        <is>
          <t>HUDDINGE</t>
        </is>
      </c>
      <c r="G23" t="n">
        <v>2.7</v>
      </c>
      <c r="H23" t="n">
        <v>0</v>
      </c>
      <c r="I23" t="n">
        <v>0</v>
      </c>
      <c r="J23" t="n">
        <v>0</v>
      </c>
      <c r="K23" t="n">
        <v>0</v>
      </c>
      <c r="L23" t="n">
        <v>0</v>
      </c>
      <c r="M23" t="n">
        <v>0</v>
      </c>
      <c r="N23" t="n">
        <v>0</v>
      </c>
      <c r="O23" t="n">
        <v>0</v>
      </c>
      <c r="P23" t="n">
        <v>0</v>
      </c>
      <c r="Q23" t="n">
        <v>0</v>
      </c>
      <c r="R23" s="2" t="inlineStr"/>
    </row>
    <row r="24">
      <c r="A24" t="inlineStr">
        <is>
          <t>A 27561-2025</t>
        </is>
      </c>
      <c r="B24" s="1" t="n">
        <v>45813.48378472222</v>
      </c>
      <c r="C24" s="1" t="n">
        <v>46040</v>
      </c>
      <c r="D24" t="inlineStr">
        <is>
          <t>STOCKHOLMS LÄN</t>
        </is>
      </c>
      <c r="E24" t="inlineStr">
        <is>
          <t>HUDDINGE</t>
        </is>
      </c>
      <c r="G24" t="n">
        <v>0.7</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2026-01-18T10:57:52Z</dcterms:created>
  <dcterms:modified xmlns:dcterms="http://purl.org/dc/terms/" xmlns:xsi="http://www.w3.org/2001/XMLSchema-instance" xsi:type="dcterms:W3CDTF">2026-01-18T10:57:52Z</dcterms:modified>
</cp:coreProperties>
</file>