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46256</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46256</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46256</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46256</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46256</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46256</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46256</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46256</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46256</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17467-2024</t>
        </is>
      </c>
      <c r="B11" t="inlineStr">
        <is>
          <t>avverkningsanmälan</t>
        </is>
      </c>
      <c r="C11" t="inlineStr">
        <is>
          <t>Föryngringsavverkning</t>
        </is>
      </c>
      <c r="D11" s="1" t="n">
        <v>45415</v>
      </c>
      <c r="E11" s="1" t="n">
        <v>46256</v>
      </c>
      <c r="F11" t="inlineStr">
        <is>
          <t>STOCKHOLMS LÄN</t>
        </is>
      </c>
      <c r="G11" t="inlineStr">
        <is>
          <t>HUDDINGE</t>
        </is>
      </c>
      <c r="I11" t="n">
        <v>14</v>
      </c>
      <c r="J11" t="n">
        <v>1</v>
      </c>
      <c r="K11" t="n">
        <v>1</v>
      </c>
      <c r="L11" t="n">
        <v>1</v>
      </c>
      <c r="M11" t="n">
        <v>1</v>
      </c>
      <c r="N11" t="n">
        <v>0</v>
      </c>
      <c r="O11" t="n">
        <v>0</v>
      </c>
      <c r="P11" t="n">
        <v>0</v>
      </c>
      <c r="Q11" t="n">
        <v>2</v>
      </c>
      <c r="R11" t="n">
        <v>1</v>
      </c>
      <c r="S11" t="n">
        <v>3</v>
      </c>
      <c r="T11" t="n">
        <v>3</v>
      </c>
      <c r="U11" t="n">
        <v>3</v>
      </c>
      <c r="V11" s="2" t="inlineStr">
        <is>
          <t>Knärot
Motaggsvamp
Bronshjon</t>
        </is>
      </c>
      <c r="W11">
        <f>HYPERLINK("https://klasma.github.io/Logging_0126/artfynd/A 17467-2024 artfynd.xlsx", "A 17467-2024")</f>
        <v/>
      </c>
      <c r="X11">
        <f>HYPERLINK("https://klasma.github.io/Logging_0126/kartor/A 17467-2024 karta.png", "A 17467-2024")</f>
        <v/>
      </c>
      <c r="Y11">
        <f>HYPERLINK("https://klasma.github.io/Logging_0126/kartor_geotiff/A 17467-2024 georefererad karta.tif", "A 17467-2024")</f>
        <v/>
      </c>
      <c r="Z11">
        <f>HYPERLINK("https://klasma.github.io/Logging_0126/knärot/A 17467-2024 karta knärot.png", "A 17467-2024")</f>
        <v/>
      </c>
      <c r="AA11">
        <f>HYPERLINK("https://klasma.github.io/Logging_0126/klagomål/A 17467-2024 FSC-klagomål.docx", "A 17467-2024")</f>
        <v/>
      </c>
      <c r="AB11">
        <f>HYPERLINK("https://klasma.github.io/Logging_0126/klagomålsmail/A 17467-2024 FSC-klagomål mail.docx", "A 17467-2024")</f>
        <v/>
      </c>
      <c r="AC11">
        <f>HYPERLINK("https://klasma.github.io/Logging_0126/tillsyn/A 17467-2024 tillsynsbegäran.docx", "A 17467-2024")</f>
        <v/>
      </c>
      <c r="AD11">
        <f>HYPERLINK("https://klasma.github.io/Logging_0126/tillsynsmail/A 17467-2024 tillsynsbegäran mail.docx", "A 17467-2024")</f>
        <v/>
      </c>
    </row>
    <row r="12" ht="15" customHeight="1">
      <c r="A12" t="inlineStr">
        <is>
          <t>A 24384-2023</t>
        </is>
      </c>
      <c r="B12" t="inlineStr">
        <is>
          <t>avverkningsanmälan</t>
        </is>
      </c>
      <c r="C12" t="inlineStr">
        <is>
          <t>Föryngringsavverkning</t>
        </is>
      </c>
      <c r="D12" s="1" t="n">
        <v>45076</v>
      </c>
      <c r="E12" s="1" t="n">
        <v>46256</v>
      </c>
      <c r="F12" t="inlineStr">
        <is>
          <t>STOCKHOLMS LÄN</t>
        </is>
      </c>
      <c r="G12" t="inlineStr">
        <is>
          <t>HUDDINGE</t>
        </is>
      </c>
      <c r="I12" t="n">
        <v>1</v>
      </c>
      <c r="J12" t="n">
        <v>1</v>
      </c>
      <c r="K12" t="n">
        <v>0</v>
      </c>
      <c r="L12" t="n">
        <v>2</v>
      </c>
      <c r="M12" t="n">
        <v>0</v>
      </c>
      <c r="N12" t="n">
        <v>0</v>
      </c>
      <c r="O12" t="n">
        <v>0</v>
      </c>
      <c r="P12" t="n">
        <v>0</v>
      </c>
      <c r="Q12" t="n">
        <v>2</v>
      </c>
      <c r="R12" t="n">
        <v>0</v>
      </c>
      <c r="S12" t="n">
        <v>3</v>
      </c>
      <c r="T12" t="n">
        <v>4</v>
      </c>
      <c r="U12" t="n">
        <v>4</v>
      </c>
      <c r="V12" s="2" t="inlineStr">
        <is>
          <t>Kolflarnlav
Vedskivlav
Spillkråka</t>
        </is>
      </c>
      <c r="W12">
        <f>HYPERLINK("https://klasma.github.io/Logging_0126/artfynd/A 24384-2023 artfynd.xlsx", "A 24384-2023")</f>
        <v/>
      </c>
      <c r="X12">
        <f>HYPERLINK("https://klasma.github.io/Logging_0126/kartor/A 24384-2023 karta.png", "A 24384-2023")</f>
        <v/>
      </c>
      <c r="Y12">
        <f>HYPERLINK("https://klasma.github.io/Logging_0126/kartor_geotiff/A 24384-2023 georefererad karta.tif", "A 24384-2023")</f>
        <v/>
      </c>
      <c r="AA12">
        <f>HYPERLINK("https://klasma.github.io/Logging_0126/klagomål/A 24384-2023 FSC-klagomål.docx", "A 24384-2023")</f>
        <v/>
      </c>
      <c r="AB12">
        <f>HYPERLINK("https://klasma.github.io/Logging_0126/klagomålsmail/A 24384-2023 FSC-klagomål mail.docx", "A 24384-2023")</f>
        <v/>
      </c>
      <c r="AC12">
        <f>HYPERLINK("https://klasma.github.io/Logging_0126/tillsyn/A 24384-2023 tillsynsbegäran.docx", "A 24384-2023")</f>
        <v/>
      </c>
      <c r="AD12">
        <f>HYPERLINK("https://klasma.github.io/Logging_0126/tillsynsmail/A 24384-2023 tillsynsbegäran mail.docx", "A 24384-2023")</f>
        <v/>
      </c>
      <c r="AE12">
        <f>HYPERLINK("https://klasma.github.io/Logging_0126/fåglar/A 24384-2023 prioriterade fågelarter.docx", "A 24384-2023")</f>
        <v/>
      </c>
    </row>
    <row r="13" ht="15" customHeight="1">
      <c r="A13" t="inlineStr">
        <is>
          <t>A 25210-2026</t>
        </is>
      </c>
      <c r="B13" t="inlineStr">
        <is>
          <t>avverkningsanmälan</t>
        </is>
      </c>
      <c r="C13" t="inlineStr">
        <is>
          <t>Föryngringsavverkning</t>
        </is>
      </c>
      <c r="D13" s="1" t="n">
        <v>46175</v>
      </c>
      <c r="E13" s="1" t="n">
        <v>46256</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46256</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46256</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46256</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46256</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46256</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24363-2023</t>
        </is>
      </c>
      <c r="B19" t="inlineStr">
        <is>
          <t>avverkningsanmälan</t>
        </is>
      </c>
      <c r="C19" t="inlineStr">
        <is>
          <t>Föryngringsavverkning</t>
        </is>
      </c>
      <c r="D19" s="1" t="n">
        <v>45076</v>
      </c>
      <c r="E19" s="1" t="n">
        <v>46256</v>
      </c>
      <c r="F19" t="inlineStr">
        <is>
          <t>STOCKHOLMS LÄN</t>
        </is>
      </c>
      <c r="G19" t="inlineStr">
        <is>
          <t>HUDDINGE</t>
        </is>
      </c>
      <c r="I19" t="n">
        <v>2.4</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HYPERLINK("https://klasma.github.io/Logging_0126/artfynd/A 24363-2023 artfynd.xlsx", "A 24363-2023")</f>
        <v/>
      </c>
      <c r="X19">
        <f>HYPERLINK("https://klasma.github.io/Logging_0126/kartor/A 24363-2023 karta.png", "A 24363-2023")</f>
        <v/>
      </c>
      <c r="Y19">
        <f>HYPERLINK("https://klasma.github.io/Logging_0126/kartor_geotiff/A 24363-2023 georefererad karta.tif", "A 24363-2023")</f>
        <v/>
      </c>
      <c r="AA19">
        <f>HYPERLINK("https://klasma.github.io/Logging_0126/klagomål/A 24363-2023 FSC-klagomål.docx", "A 24363-2023")</f>
        <v/>
      </c>
      <c r="AB19">
        <f>HYPERLINK("https://klasma.github.io/Logging_0126/klagomålsmail/A 24363-2023 FSC-klagomål mail.docx", "A 24363-2023")</f>
        <v/>
      </c>
      <c r="AC19">
        <f>HYPERLINK("https://klasma.github.io/Logging_0126/tillsyn/A 24363-2023 tillsynsbegäran.docx", "A 24363-2023")</f>
        <v/>
      </c>
      <c r="AD19">
        <f>HYPERLINK("https://klasma.github.io/Logging_0126/tillsynsmail/A 24363-2023 tillsynsbegäran mail.docx", "A 24363-2023")</f>
        <v/>
      </c>
    </row>
    <row r="20" ht="15" customHeight="1">
      <c r="A20" t="inlineStr">
        <is>
          <t>A 24262-2023</t>
        </is>
      </c>
      <c r="B20" t="inlineStr">
        <is>
          <t>avverkningsanmälan</t>
        </is>
      </c>
      <c r="C20" t="inlineStr">
        <is>
          <t>Föryngringsavverkning</t>
        </is>
      </c>
      <c r="D20" s="1" t="n">
        <v>45076</v>
      </c>
      <c r="E20" s="1" t="n">
        <v>46256</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46256</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46256</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46256</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46256</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46256</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46256</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46256</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46256</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31651-2026</t>
        </is>
      </c>
      <c r="B29" t="inlineStr">
        <is>
          <t>avverkningsanmälan</t>
        </is>
      </c>
      <c r="C29" t="inlineStr">
        <is>
          <t>Avverkning för annat ändamål</t>
        </is>
      </c>
      <c r="D29" s="1" t="n">
        <v>46223</v>
      </c>
      <c r="E29" s="1" t="n">
        <v>46256</v>
      </c>
      <c r="F29" t="inlineStr">
        <is>
          <t>STOCKHOLMS LÄN</t>
        </is>
      </c>
      <c r="G29" t="inlineStr">
        <is>
          <t>HUDDINGE</t>
        </is>
      </c>
      <c r="H29" t="inlineStr">
        <is>
          <t>Kommuner</t>
        </is>
      </c>
      <c r="I29" t="n">
        <v>0</v>
      </c>
      <c r="J29" t="n">
        <v>0</v>
      </c>
      <c r="K29" t="n">
        <v>0</v>
      </c>
      <c r="L29" t="n">
        <v>0</v>
      </c>
      <c r="M29" t="n">
        <v>0</v>
      </c>
      <c r="N29" t="n">
        <v>0</v>
      </c>
      <c r="O29" t="n">
        <v>0</v>
      </c>
      <c r="P29" t="n">
        <v>0</v>
      </c>
      <c r="Q29" t="n">
        <v>0</v>
      </c>
      <c r="R29" t="n">
        <v>0</v>
      </c>
      <c r="S29" t="n">
        <v>0</v>
      </c>
      <c r="T29" t="n">
        <v>0</v>
      </c>
      <c r="U29" t="n">
        <v>0</v>
      </c>
      <c r="V29" s="2" t="inlineStr"/>
      <c r="X29">
        <f>HYPERLINK("https://klasma.github.io/Logging_0126/kartor/A 31651-2026 karta.png", "A 31651-2026")</f>
        <v/>
      </c>
      <c r="Y29">
        <f>HYPERLINK("https://klasma.github.io/Logging_0126/kartor_geotiff/A 31651-2026 georefererad karta.tif", "A 31651-2026")</f>
        <v/>
      </c>
      <c r="AA29">
        <f>HYPERLINK("https://klasma.github.io/Logging_0126/klagomål/A 31651-2026 FSC-klagomål.docx", "A 31651-2026")</f>
        <v/>
      </c>
      <c r="AB29">
        <f>HYPERLINK("https://klasma.github.io/Logging_0126/klagomålsmail/A 31651-2026 FSC-klagomål mail.docx", "A 31651-2026")</f>
        <v/>
      </c>
      <c r="AC29">
        <f>HYPERLINK("https://klasma.github.io/Logging_0126/tillsyn/A 31651-2026 tillsynsbegäran.docx", "A 31651-2026")</f>
        <v/>
      </c>
      <c r="AD29">
        <f>HYPERLINK("https://klasma.github.io/Logging_0126/tillsynsmail/A 31651-2026 tillsynsbegäran mail.docx", "A 31651-2026")</f>
        <v/>
      </c>
    </row>
    <row r="30" ht="15" customHeight="1">
      <c r="A30" t="inlineStr">
        <is>
          <t>A 31650-2026</t>
        </is>
      </c>
      <c r="B30" t="inlineStr">
        <is>
          <t>avverkningsanmälan</t>
        </is>
      </c>
      <c r="C30" t="inlineStr">
        <is>
          <t>Avverkning för annat ändamål</t>
        </is>
      </c>
      <c r="D30" s="1" t="n">
        <v>46225</v>
      </c>
      <c r="E30" s="1" t="n">
        <v>46256</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46256</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31246-2022</t>
        </is>
      </c>
      <c r="B32" t="inlineStr">
        <is>
          <t>avverkningsanmälan</t>
        </is>
      </c>
      <c r="C32" t="inlineStr">
        <is>
          <t>Avverkning för annat ändamål</t>
        </is>
      </c>
      <c r="D32" s="1" t="n">
        <v>44771</v>
      </c>
      <c r="E32" s="1" t="n">
        <v>46256</v>
      </c>
      <c r="F32" t="inlineStr">
        <is>
          <t>STOCKHOLMS LÄN</t>
        </is>
      </c>
      <c r="G32" t="inlineStr">
        <is>
          <t>HUDDINGE</t>
        </is>
      </c>
      <c r="I32" t="n">
        <v>4.3</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2026-08-22T01:47:47Z</dcterms:created>
  <dcterms:modified xmlns:dcterms="http://purl.org/dc/terms/" xmlns:xsi="http://www.w3.org/2001/XMLSchema-instance" xsi:type="dcterms:W3CDTF">2026-08-22T01:47:47Z</dcterms:modified>
</cp:coreProperties>
</file>