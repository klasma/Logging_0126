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45832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45832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6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Grönfink
Entita
Gulsparv
Bronshjon
Grovticka
Vedticka
Vågbandad barkbock
Grönsiska
Järnsparv
Kungsfågel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  <c r="Z3">
        <f>HYPERLINK("https://klasma.github.io/Logging_0126/fåglar/A 49418-2023 prioriterade fågelarter.docx",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45832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Motaggsvamp
Tallticka
Ullticka
Björksplintborre
Bronshjon
Granbarkgnagare
Mindre märgborre
Vågbandad barkbock
Revlummer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45832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52259-2024</t>
        </is>
      </c>
      <c r="B6" s="1" t="n">
        <v>45608</v>
      </c>
      <c r="C6" s="1" t="n">
        <v>45832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Svartvit flugsnappare
Grönsiska</t>
        </is>
      </c>
      <c r="S6">
        <f>HYPERLINK("https://klasma.github.io/Logging_0126/artfynd/A 52259-2024 artfynd.xlsx", "A 52259-2024")</f>
        <v/>
      </c>
      <c r="T6">
        <f>HYPERLINK("https://klasma.github.io/Logging_0126/kartor/A 52259-2024 karta.png", "A 52259-2024")</f>
        <v/>
      </c>
      <c r="V6">
        <f>HYPERLINK("https://klasma.github.io/Logging_0126/klagomål/A 52259-2024 FSC-klagomål.docx", "A 52259-2024")</f>
        <v/>
      </c>
      <c r="W6">
        <f>HYPERLINK("https://klasma.github.io/Logging_0126/klagomålsmail/A 52259-2024 FSC-klagomål mail.docx", "A 52259-2024")</f>
        <v/>
      </c>
      <c r="X6">
        <f>HYPERLINK("https://klasma.github.io/Logging_0126/tillsyn/A 52259-2024 tillsynsbegäran.docx", "A 52259-2024")</f>
        <v/>
      </c>
      <c r="Y6">
        <f>HYPERLINK("https://klasma.github.io/Logging_0126/tillsynsmail/A 52259-2024 tillsynsbegäran mail.docx", "A 52259-2024")</f>
        <v/>
      </c>
      <c r="Z6">
        <f>HYPERLINK("https://klasma.github.io/Logging_0126/fåglar/A 52259-2024 prioriterade fågelarter.docx", "A 52259-2024")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45832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13326-2020</t>
        </is>
      </c>
      <c r="B8" s="1" t="n">
        <v>43894</v>
      </c>
      <c r="C8" s="1" t="n">
        <v>45832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HYPERLINK("https://klasma.github.io/Logging_0126/artfynd/A 13326-2020 artfynd.xlsx", "A 13326-2020")</f>
        <v/>
      </c>
      <c r="T8">
        <f>HYPERLINK("https://klasma.github.io/Logging_0126/kartor/A 13326-2020 karta.png", "A 13326-2020")</f>
        <v/>
      </c>
      <c r="V8">
        <f>HYPERLINK("https://klasma.github.io/Logging_0126/klagomål/A 13326-2020 FSC-klagomål.docx", "A 13326-2020")</f>
        <v/>
      </c>
      <c r="W8">
        <f>HYPERLINK("https://klasma.github.io/Logging_0126/klagomålsmail/A 13326-2020 FSC-klagomål mail.docx", "A 13326-2020")</f>
        <v/>
      </c>
      <c r="X8">
        <f>HYPERLINK("https://klasma.github.io/Logging_0126/tillsyn/A 13326-2020 tillsynsbegäran.docx", "A 13326-2020")</f>
        <v/>
      </c>
      <c r="Y8">
        <f>HYPERLINK("https://klasma.github.io/Logging_0126/tillsynsmail/A 13326-2020 tillsynsbegäran mail.docx", "A 13326-2020")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45832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45832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24368-2023</t>
        </is>
      </c>
      <c r="B11" s="1" t="n">
        <v>45076</v>
      </c>
      <c r="C11" s="1" t="n">
        <v>45832</v>
      </c>
      <c r="D11" t="inlineStr">
        <is>
          <t>STOCKHOLMS LÄN</t>
        </is>
      </c>
      <c r="E11" t="inlineStr">
        <is>
          <t>HUDDINGE</t>
        </is>
      </c>
      <c r="G11" t="n">
        <v>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HYPERLINK("https://klasma.github.io/Logging_0126/artfynd/A 24368-2023 artfynd.xlsx", "A 24368-2023")</f>
        <v/>
      </c>
      <c r="T11">
        <f>HYPERLINK("https://klasma.github.io/Logging_0126/kartor/A 24368-2023 karta.png", "A 24368-2023")</f>
        <v/>
      </c>
      <c r="V11">
        <f>HYPERLINK("https://klasma.github.io/Logging_0126/klagomål/A 24368-2023 FSC-klagomål.docx", "A 24368-2023")</f>
        <v/>
      </c>
      <c r="W11">
        <f>HYPERLINK("https://klasma.github.io/Logging_0126/klagomålsmail/A 24368-2023 FSC-klagomål mail.docx", "A 24368-2023")</f>
        <v/>
      </c>
      <c r="X11">
        <f>HYPERLINK("https://klasma.github.io/Logging_0126/tillsyn/A 24368-2023 tillsynsbegäran.docx", "A 24368-2023")</f>
        <v/>
      </c>
      <c r="Y11">
        <f>HYPERLINK("https://klasma.github.io/Logging_0126/tillsynsmail/A 24368-2023 tillsynsbegäran mail.docx", "A 24368-2023")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45832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24262-2023</t>
        </is>
      </c>
      <c r="B13" s="1" t="n">
        <v>45076</v>
      </c>
      <c r="C13" s="1" t="n">
        <v>45832</v>
      </c>
      <c r="D13" t="inlineStr">
        <is>
          <t>STOCKHOLMS LÄN</t>
        </is>
      </c>
      <c r="E13" t="inlineStr">
        <is>
          <t>HUDDINGE</t>
        </is>
      </c>
      <c r="G13" t="n">
        <v>2.5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HYPERLINK("https://klasma.github.io/Logging_0126/artfynd/A 24262-2023 artfynd.xlsx", "A 24262-2023")</f>
        <v/>
      </c>
      <c r="T13">
        <f>HYPERLINK("https://klasma.github.io/Logging_0126/kartor/A 24262-2023 karta.png", "A 24262-2023")</f>
        <v/>
      </c>
      <c r="V13">
        <f>HYPERLINK("https://klasma.github.io/Logging_0126/klagomål/A 24262-2023 FSC-klagomål.docx", "A 24262-2023")</f>
        <v/>
      </c>
      <c r="W13">
        <f>HYPERLINK("https://klasma.github.io/Logging_0126/klagomålsmail/A 24262-2023 FSC-klagomål mail.docx", "A 24262-2023")</f>
        <v/>
      </c>
      <c r="X13">
        <f>HYPERLINK("https://klasma.github.io/Logging_0126/tillsyn/A 24262-2023 tillsynsbegäran.docx", "A 24262-2023")</f>
        <v/>
      </c>
      <c r="Y13">
        <f>HYPERLINK("https://klasma.github.io/Logging_0126/tillsynsmail/A 24262-2023 tillsynsbegäran mail.docx", "A 24262-2023")</f>
        <v/>
      </c>
    </row>
    <row r="14" ht="15" customHeight="1">
      <c r="A14" t="inlineStr">
        <is>
          <t>A 49421-2023</t>
        </is>
      </c>
      <c r="B14" s="1" t="n">
        <v>45211</v>
      </c>
      <c r="C14" s="1" t="n">
        <v>45832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1.4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Grönfink</t>
        </is>
      </c>
      <c r="S14">
        <f>HYPERLINK("https://klasma.github.io/Logging_0126/artfynd/A 49421-2023 artfynd.xlsx", "A 49421-2023")</f>
        <v/>
      </c>
      <c r="T14">
        <f>HYPERLINK("https://klasma.github.io/Logging_0126/kartor/A 49421-2023 karta.png", "A 49421-2023")</f>
        <v/>
      </c>
      <c r="V14">
        <f>HYPERLINK("https://klasma.github.io/Logging_0126/klagomål/A 49421-2023 FSC-klagomål.docx", "A 49421-2023")</f>
        <v/>
      </c>
      <c r="W14">
        <f>HYPERLINK("https://klasma.github.io/Logging_0126/klagomålsmail/A 49421-2023 FSC-klagomål mail.docx", "A 49421-2023")</f>
        <v/>
      </c>
      <c r="X14">
        <f>HYPERLINK("https://klasma.github.io/Logging_0126/tillsyn/A 49421-2023 tillsynsbegäran.docx", "A 49421-2023")</f>
        <v/>
      </c>
      <c r="Y14">
        <f>HYPERLINK("https://klasma.github.io/Logging_0126/tillsynsmail/A 49421-2023 tillsynsbegäran mail.docx", "A 49421-2023")</f>
        <v/>
      </c>
      <c r="Z14">
        <f>HYPERLINK("https://klasma.github.io/Logging_0126/fåglar/A 49421-2023 prioriterade fågelarter.docx", "A 49421-2023")</f>
        <v/>
      </c>
    </row>
    <row r="15" ht="15" customHeight="1">
      <c r="A15" t="inlineStr">
        <is>
          <t>A 58260-2020</t>
        </is>
      </c>
      <c r="B15" s="1" t="n">
        <v>44144</v>
      </c>
      <c r="C15" s="1" t="n">
        <v>45832</v>
      </c>
      <c r="D15" t="inlineStr">
        <is>
          <t>STOCKHOLMS LÄN</t>
        </is>
      </c>
      <c r="E15" t="inlineStr">
        <is>
          <t>HUDDINGE</t>
        </is>
      </c>
      <c r="F15" t="inlineStr">
        <is>
          <t>Kommuner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31246-2022</t>
        </is>
      </c>
      <c r="B16" s="1" t="n">
        <v>44771</v>
      </c>
      <c r="C16" s="1" t="n">
        <v>45832</v>
      </c>
      <c r="D16" t="inlineStr">
        <is>
          <t>STOCKHOLMS LÄN</t>
        </is>
      </c>
      <c r="E16" t="inlineStr">
        <is>
          <t>HUDDINGE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32508-2022</t>
        </is>
      </c>
      <c r="B17" s="1" t="n">
        <v>44782</v>
      </c>
      <c r="C17" s="1" t="n">
        <v>45832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35404-2022</t>
        </is>
      </c>
      <c r="B18" s="1" t="n">
        <v>44798</v>
      </c>
      <c r="C18" s="1" t="n">
        <v>45832</v>
      </c>
      <c r="D18" t="inlineStr">
        <is>
          <t>STOCKHOLMS LÄN</t>
        </is>
      </c>
      <c r="E18" t="inlineStr">
        <is>
          <t>HUDDINGE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47173-2022</t>
        </is>
      </c>
      <c r="B19" s="1" t="n">
        <v>44852</v>
      </c>
      <c r="C19" s="1" t="n">
        <v>45832</v>
      </c>
      <c r="D19" t="inlineStr">
        <is>
          <t>STOCKHOLMS LÄN</t>
        </is>
      </c>
      <c r="E19" t="inlineStr">
        <is>
          <t>HUDDINGE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24254-2023</t>
        </is>
      </c>
      <c r="B20" s="1" t="n">
        <v>45076</v>
      </c>
      <c r="C20" s="1" t="n">
        <v>45832</v>
      </c>
      <c r="D20" t="inlineStr">
        <is>
          <t>STOCKHOLMS LÄN</t>
        </is>
      </c>
      <c r="E20" t="inlineStr">
        <is>
          <t>HUDDINGE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24257-2023</t>
        </is>
      </c>
      <c r="B21" s="1" t="n">
        <v>45076</v>
      </c>
      <c r="C21" s="1" t="n">
        <v>45832</v>
      </c>
      <c r="D21" t="inlineStr">
        <is>
          <t>STOCKHOLMS LÄN</t>
        </is>
      </c>
      <c r="E21" t="inlineStr">
        <is>
          <t>HUDDINGE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24363-2023</t>
        </is>
      </c>
      <c r="B22" s="1" t="n">
        <v>45076</v>
      </c>
      <c r="C22" s="1" t="n">
        <v>45832</v>
      </c>
      <c r="D22" t="inlineStr">
        <is>
          <t>STOCKHOLMS LÄN</t>
        </is>
      </c>
      <c r="E22" t="inlineStr">
        <is>
          <t>HUDDINGE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17467-2024</t>
        </is>
      </c>
      <c r="B23" s="1" t="n">
        <v>45415</v>
      </c>
      <c r="C23" s="1" t="n">
        <v>45832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27589-2025</t>
        </is>
      </c>
      <c r="B24" s="1" t="n">
        <v>45813</v>
      </c>
      <c r="C24" s="1" t="n">
        <v>45832</v>
      </c>
      <c r="D24" t="inlineStr">
        <is>
          <t>STOCKHOLMS LÄN</t>
        </is>
      </c>
      <c r="E24" t="inlineStr">
        <is>
          <t>HUDDINGE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>
      <c r="A25" t="inlineStr">
        <is>
          <t>A 27561-2025</t>
        </is>
      </c>
      <c r="B25" s="1" t="n">
        <v>45813</v>
      </c>
      <c r="C25" s="1" t="n">
        <v>45832</v>
      </c>
      <c r="D25" t="inlineStr">
        <is>
          <t>STOCKHOLMS LÄN</t>
        </is>
      </c>
      <c r="E25" t="inlineStr">
        <is>
          <t>HUDDINGE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2025-06-24T19:52:57Z</dcterms:created>
  <dcterms:modified xmlns:dcterms="http://purl.org/dc/terms/" xmlns:xsi="http://www.w3.org/2001/XMLSchema-instance" xsi:type="dcterms:W3CDTF">2025-06-24T19:52:57Z</dcterms:modified>
</cp:coreProperties>
</file>