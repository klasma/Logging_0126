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46226</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46226</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46226</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46226</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46226</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46226</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32508-2022</t>
        </is>
      </c>
      <c r="B8" t="inlineStr">
        <is>
          <t>avverkningsanmälan</t>
        </is>
      </c>
      <c r="C8" t="inlineStr">
        <is>
          <t>Avverkning för annat ändamål</t>
        </is>
      </c>
      <c r="D8" s="1" t="n">
        <v>44782</v>
      </c>
      <c r="E8" s="1" t="n">
        <v>46226</v>
      </c>
      <c r="F8" t="inlineStr">
        <is>
          <t>STOCKHOLMS LÄN</t>
        </is>
      </c>
      <c r="G8" t="inlineStr">
        <is>
          <t>HUDDINGE</t>
        </is>
      </c>
      <c r="H8" t="inlineStr">
        <is>
          <t>Kommuner</t>
        </is>
      </c>
      <c r="I8" t="n">
        <v>4.7</v>
      </c>
      <c r="J8" t="n">
        <v>2</v>
      </c>
      <c r="K8" t="n">
        <v>1</v>
      </c>
      <c r="L8" t="n">
        <v>0</v>
      </c>
      <c r="M8" t="n">
        <v>0</v>
      </c>
      <c r="N8" t="n">
        <v>0</v>
      </c>
      <c r="O8" t="n">
        <v>0</v>
      </c>
      <c r="P8" t="n">
        <v>0</v>
      </c>
      <c r="Q8" t="n">
        <v>0</v>
      </c>
      <c r="R8" t="n">
        <v>0</v>
      </c>
      <c r="S8" t="n">
        <v>3</v>
      </c>
      <c r="T8" t="n">
        <v>5</v>
      </c>
      <c r="U8" t="n">
        <v>3</v>
      </c>
      <c r="V8" s="2" t="inlineStr">
        <is>
          <t>Strutbräken
Blåsippa
Kopparödla</t>
        </is>
      </c>
      <c r="W8">
        <f>HYPERLINK("https://klasma.github.io/Logging_0126/artfynd/A 32508-2022 artfynd.xlsx", "A 32508-2022")</f>
        <v/>
      </c>
      <c r="X8">
        <f>HYPERLINK("https://klasma.github.io/Logging_0126/kartor/A 32508-2022 karta.png", "A 32508-2022")</f>
        <v/>
      </c>
      <c r="Y8">
        <f>HYPERLINK("https://klasma.github.io/Logging_0126/kartor_geotiff/A 32508-2022 georefererad karta.tif", "A 32508-2022")</f>
        <v/>
      </c>
      <c r="AA8">
        <f>HYPERLINK("https://klasma.github.io/Logging_0126/klagomål/A 32508-2022 FSC-klagomål.docx", "A 32508-2022")</f>
        <v/>
      </c>
      <c r="AB8">
        <f>HYPERLINK("https://klasma.github.io/Logging_0126/klagomålsmail/A 32508-2022 FSC-klagomål mail.docx", "A 32508-2022")</f>
        <v/>
      </c>
      <c r="AC8">
        <f>HYPERLINK("https://klasma.github.io/Logging_0126/tillsyn/A 32508-2022 tillsynsbegäran.docx", "A 32508-2022")</f>
        <v/>
      </c>
      <c r="AD8">
        <f>HYPERLINK("https://klasma.github.io/Logging_0126/tillsynsmail/A 32508-2022 tillsynsbegäran mail.docx", "A 32508-2022")</f>
        <v/>
      </c>
    </row>
    <row r="9" ht="15" customHeight="1">
      <c r="A9" t="inlineStr">
        <is>
          <t>A 24254-2023</t>
        </is>
      </c>
      <c r="B9" t="inlineStr">
        <is>
          <t>avverkningsanmälan</t>
        </is>
      </c>
      <c r="C9" t="inlineStr">
        <is>
          <t>Föryngringsavverkning</t>
        </is>
      </c>
      <c r="D9" s="1" t="n">
        <v>45076</v>
      </c>
      <c r="E9" s="1" t="n">
        <v>46226</v>
      </c>
      <c r="F9" t="inlineStr">
        <is>
          <t>STOCKHOLMS LÄN</t>
        </is>
      </c>
      <c r="G9" t="inlineStr">
        <is>
          <t>HUDDINGE</t>
        </is>
      </c>
      <c r="I9" t="n">
        <v>1.2</v>
      </c>
      <c r="J9" t="n">
        <v>0</v>
      </c>
      <c r="K9" t="n">
        <v>0</v>
      </c>
      <c r="L9" t="n">
        <v>2</v>
      </c>
      <c r="M9" t="n">
        <v>0</v>
      </c>
      <c r="N9" t="n">
        <v>1</v>
      </c>
      <c r="O9" t="n">
        <v>0</v>
      </c>
      <c r="P9" t="n">
        <v>0</v>
      </c>
      <c r="Q9" t="n">
        <v>3</v>
      </c>
      <c r="R9" t="n">
        <v>1</v>
      </c>
      <c r="S9" t="n">
        <v>3</v>
      </c>
      <c r="T9" t="n">
        <v>3</v>
      </c>
      <c r="U9" t="n">
        <v>3</v>
      </c>
      <c r="V9" s="2" t="inlineStr">
        <is>
          <t>Tallharticka
Kandelabersvamp
Vit vedfingersvamp</t>
        </is>
      </c>
      <c r="W9">
        <f>HYPERLINK("https://klasma.github.io/Logging_0126/artfynd/A 24254-2023 artfynd.xlsx", "A 24254-2023")</f>
        <v/>
      </c>
      <c r="X9">
        <f>HYPERLINK("https://klasma.github.io/Logging_0126/kartor/A 24254-2023 karta.png", "A 24254-2023")</f>
        <v/>
      </c>
      <c r="Y9">
        <f>HYPERLINK("https://klasma.github.io/Logging_0126/kartor_geotiff/A 24254-2023 georefererad karta.tif", "A 24254-2023")</f>
        <v/>
      </c>
      <c r="AA9">
        <f>HYPERLINK("https://klasma.github.io/Logging_0126/klagomål/A 24254-2023 FSC-klagomål.docx", "A 24254-2023")</f>
        <v/>
      </c>
      <c r="AB9">
        <f>HYPERLINK("https://klasma.github.io/Logging_0126/klagomålsmail/A 24254-2023 FSC-klagomål mail.docx", "A 24254-2023")</f>
        <v/>
      </c>
      <c r="AC9">
        <f>HYPERLINK("https://klasma.github.io/Logging_0126/tillsyn/A 24254-2023 tillsynsbegäran.docx", "A 24254-2023")</f>
        <v/>
      </c>
      <c r="AD9">
        <f>HYPERLINK("https://klasma.github.io/Logging_0126/tillsynsmail/A 24254-2023 tillsynsbegäran mail.docx", "A 24254-2023")</f>
        <v/>
      </c>
    </row>
    <row r="10" ht="15" customHeight="1">
      <c r="A10" t="inlineStr">
        <is>
          <t>A 24384-2023</t>
        </is>
      </c>
      <c r="B10" t="inlineStr">
        <is>
          <t>avverkningsanmälan</t>
        </is>
      </c>
      <c r="C10" t="inlineStr">
        <is>
          <t>Föryngringsavverkning</t>
        </is>
      </c>
      <c r="D10" s="1" t="n">
        <v>45076</v>
      </c>
      <c r="E10" s="1" t="n">
        <v>46226</v>
      </c>
      <c r="F10" t="inlineStr">
        <is>
          <t>STOCKHOLMS LÄN</t>
        </is>
      </c>
      <c r="G10" t="inlineStr">
        <is>
          <t>HUDDINGE</t>
        </is>
      </c>
      <c r="I10" t="n">
        <v>1</v>
      </c>
      <c r="J10" t="n">
        <v>1</v>
      </c>
      <c r="K10" t="n">
        <v>0</v>
      </c>
      <c r="L10" t="n">
        <v>2</v>
      </c>
      <c r="M10" t="n">
        <v>0</v>
      </c>
      <c r="N10" t="n">
        <v>0</v>
      </c>
      <c r="O10" t="n">
        <v>0</v>
      </c>
      <c r="P10" t="n">
        <v>0</v>
      </c>
      <c r="Q10" t="n">
        <v>2</v>
      </c>
      <c r="R10" t="n">
        <v>0</v>
      </c>
      <c r="S10" t="n">
        <v>3</v>
      </c>
      <c r="T10" t="n">
        <v>4</v>
      </c>
      <c r="U10" t="n">
        <v>4</v>
      </c>
      <c r="V10" s="2" t="inlineStr">
        <is>
          <t>Kolflarnlav
Vedskivlav
Spillkråka</t>
        </is>
      </c>
      <c r="W10">
        <f>HYPERLINK("https://klasma.github.io/Logging_0126/artfynd/A 24384-2023 artfynd.xlsx", "A 24384-2023")</f>
        <v/>
      </c>
      <c r="X10">
        <f>HYPERLINK("https://klasma.github.io/Logging_0126/kartor/A 24384-2023 karta.png", "A 24384-2023")</f>
        <v/>
      </c>
      <c r="Y10">
        <f>HYPERLINK("https://klasma.github.io/Logging_0126/kartor_geotiff/A 24384-2023 georefererad karta.tif", "A 24384-2023")</f>
        <v/>
      </c>
      <c r="AA10">
        <f>HYPERLINK("https://klasma.github.io/Logging_0126/klagomål/A 24384-2023 FSC-klagomål.docx", "A 24384-2023")</f>
        <v/>
      </c>
      <c r="AB10">
        <f>HYPERLINK("https://klasma.github.io/Logging_0126/klagomålsmail/A 24384-2023 FSC-klagomål mail.docx", "A 24384-2023")</f>
        <v/>
      </c>
      <c r="AC10">
        <f>HYPERLINK("https://klasma.github.io/Logging_0126/tillsyn/A 24384-2023 tillsynsbegäran.docx", "A 24384-2023")</f>
        <v/>
      </c>
      <c r="AD10">
        <f>HYPERLINK("https://klasma.github.io/Logging_0126/tillsynsmail/A 24384-2023 tillsynsbegäran mail.docx", "A 24384-2023")</f>
        <v/>
      </c>
      <c r="AE10">
        <f>HYPERLINK("https://klasma.github.io/Logging_0126/fåglar/A 24384-2023 prioriterade fågelarter.docx", "A 24384-2023")</f>
        <v/>
      </c>
    </row>
    <row r="11" ht="15" customHeight="1">
      <c r="A11" t="inlineStr">
        <is>
          <t>A 17467-2024</t>
        </is>
      </c>
      <c r="B11" t="inlineStr">
        <is>
          <t>avverkningsanmälan</t>
        </is>
      </c>
      <c r="C11" t="inlineStr">
        <is>
          <t>Föryngringsavverkning</t>
        </is>
      </c>
      <c r="D11" s="1" t="n">
        <v>45415</v>
      </c>
      <c r="E11" s="1" t="n">
        <v>46226</v>
      </c>
      <c r="F11" t="inlineStr">
        <is>
          <t>STOCKHOLMS LÄN</t>
        </is>
      </c>
      <c r="G11" t="inlineStr">
        <is>
          <t>HUDDINGE</t>
        </is>
      </c>
      <c r="I11" t="n">
        <v>14</v>
      </c>
      <c r="J11" t="n">
        <v>1</v>
      </c>
      <c r="K11" t="n">
        <v>1</v>
      </c>
      <c r="L11" t="n">
        <v>1</v>
      </c>
      <c r="M11" t="n">
        <v>1</v>
      </c>
      <c r="N11" t="n">
        <v>0</v>
      </c>
      <c r="O11" t="n">
        <v>0</v>
      </c>
      <c r="P11" t="n">
        <v>0</v>
      </c>
      <c r="Q11" t="n">
        <v>2</v>
      </c>
      <c r="R11" t="n">
        <v>1</v>
      </c>
      <c r="S11" t="n">
        <v>3</v>
      </c>
      <c r="T11" t="n">
        <v>3</v>
      </c>
      <c r="U11" t="n">
        <v>3</v>
      </c>
      <c r="V11" s="2" t="inlineStr">
        <is>
          <t>Knärot
Motaggsvamp
Bronshjon</t>
        </is>
      </c>
      <c r="W11">
        <f>HYPERLINK("https://klasma.github.io/Logging_0126/artfynd/A 17467-2024 artfynd.xlsx", "A 17467-2024")</f>
        <v/>
      </c>
      <c r="X11">
        <f>HYPERLINK("https://klasma.github.io/Logging_0126/kartor/A 17467-2024 karta.png", "A 17467-2024")</f>
        <v/>
      </c>
      <c r="Y11">
        <f>HYPERLINK("https://klasma.github.io/Logging_0126/kartor_geotiff/A 17467-2024 georefererad karta.tif", "A 17467-2024")</f>
        <v/>
      </c>
      <c r="Z11">
        <f>HYPERLINK("https://klasma.github.io/Logging_0126/knärot/A 17467-2024 karta knärot.png", "A 17467-2024")</f>
        <v/>
      </c>
      <c r="AA11">
        <f>HYPERLINK("https://klasma.github.io/Logging_0126/klagomål/A 17467-2024 FSC-klagomål.docx", "A 17467-2024")</f>
        <v/>
      </c>
      <c r="AB11">
        <f>HYPERLINK("https://klasma.github.io/Logging_0126/klagomålsmail/A 17467-2024 FSC-klagomål mail.docx", "A 17467-2024")</f>
        <v/>
      </c>
      <c r="AC11">
        <f>HYPERLINK("https://klasma.github.io/Logging_0126/tillsyn/A 17467-2024 tillsynsbegäran.docx", "A 17467-2024")</f>
        <v/>
      </c>
      <c r="AD11">
        <f>HYPERLINK("https://klasma.github.io/Logging_0126/tillsynsmail/A 17467-2024 tillsynsbegäran mail.docx", "A 17467-2024")</f>
        <v/>
      </c>
    </row>
    <row r="12" ht="15" customHeight="1">
      <c r="A12" t="inlineStr">
        <is>
          <t>A 25210-2026</t>
        </is>
      </c>
      <c r="B12" t="inlineStr">
        <is>
          <t>avverkningsanmälan</t>
        </is>
      </c>
      <c r="C12" t="inlineStr">
        <is>
          <t>Föryngringsavverkning</t>
        </is>
      </c>
      <c r="D12" s="1" t="n">
        <v>46175</v>
      </c>
      <c r="E12" s="1" t="n">
        <v>46226</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24368-2023</t>
        </is>
      </c>
      <c r="B13" t="inlineStr">
        <is>
          <t>avverkningsanmälan</t>
        </is>
      </c>
      <c r="C13" t="inlineStr">
        <is>
          <t>Föryngringsavverkning</t>
        </is>
      </c>
      <c r="D13" s="1" t="n">
        <v>45076</v>
      </c>
      <c r="E13" s="1" t="n">
        <v>46226</v>
      </c>
      <c r="F13" t="inlineStr">
        <is>
          <t>STOCKHOLMS LÄN</t>
        </is>
      </c>
      <c r="G13" t="inlineStr">
        <is>
          <t>HUDDINGE</t>
        </is>
      </c>
      <c r="I13" t="n">
        <v>3</v>
      </c>
      <c r="J13" t="n">
        <v>1</v>
      </c>
      <c r="K13" t="n">
        <v>1</v>
      </c>
      <c r="L13" t="n">
        <v>1</v>
      </c>
      <c r="M13" t="n">
        <v>0</v>
      </c>
      <c r="N13" t="n">
        <v>0</v>
      </c>
      <c r="O13" t="n">
        <v>0</v>
      </c>
      <c r="P13" t="n">
        <v>0</v>
      </c>
      <c r="Q13" t="n">
        <v>1</v>
      </c>
      <c r="R13" t="n">
        <v>0</v>
      </c>
      <c r="S13" t="n">
        <v>2</v>
      </c>
      <c r="T13" t="n">
        <v>2</v>
      </c>
      <c r="U13" t="n">
        <v>2</v>
      </c>
      <c r="V13" s="2" t="inlineStr">
        <is>
          <t>Motaggsvamp
Plattlummer</t>
        </is>
      </c>
      <c r="W13">
        <f>HYPERLINK("https://klasma.github.io/Logging_0126/artfynd/A 24368-2023 artfynd.xlsx", "A 24368-2023")</f>
        <v/>
      </c>
      <c r="X13">
        <f>HYPERLINK("https://klasma.github.io/Logging_0126/kartor/A 24368-2023 karta.png", "A 24368-2023")</f>
        <v/>
      </c>
      <c r="Y13">
        <f>HYPERLINK("https://klasma.github.io/Logging_0126/kartor_geotiff/A 24368-2023 georefererad karta.tif", "A 24368-2023")</f>
        <v/>
      </c>
      <c r="AA13">
        <f>HYPERLINK("https://klasma.github.io/Logging_0126/klagomål/A 24368-2023 FSC-klagomål.docx", "A 24368-2023")</f>
        <v/>
      </c>
      <c r="AB13">
        <f>HYPERLINK("https://klasma.github.io/Logging_0126/klagomålsmail/A 24368-2023 FSC-klagomål mail.docx", "A 24368-2023")</f>
        <v/>
      </c>
      <c r="AC13">
        <f>HYPERLINK("https://klasma.github.io/Logging_0126/tillsyn/A 24368-2023 tillsynsbegäran.docx", "A 24368-2023")</f>
        <v/>
      </c>
      <c r="AD13">
        <f>HYPERLINK("https://klasma.github.io/Logging_0126/tillsynsmail/A 24368-2023 tillsynsbegäran mail.docx", "A 24368-2023")</f>
        <v/>
      </c>
    </row>
    <row r="14" ht="15" customHeight="1">
      <c r="A14" t="inlineStr">
        <is>
          <t>A 25208-2026</t>
        </is>
      </c>
      <c r="B14" t="inlineStr">
        <is>
          <t>avverkningsanmälan</t>
        </is>
      </c>
      <c r="C14" t="inlineStr">
        <is>
          <t>Föryngringsavverkning</t>
        </is>
      </c>
      <c r="D14" s="1" t="n">
        <v>46175</v>
      </c>
      <c r="E14" s="1" t="n">
        <v>46226</v>
      </c>
      <c r="F14" t="inlineStr">
        <is>
          <t>STOCKHOLMS LÄN</t>
        </is>
      </c>
      <c r="G14" t="inlineStr">
        <is>
          <t>HUDDINGE</t>
        </is>
      </c>
      <c r="I14" t="n">
        <v>1.1</v>
      </c>
      <c r="J14" t="n">
        <v>2</v>
      </c>
      <c r="K14" t="n">
        <v>0</v>
      </c>
      <c r="L14" t="n">
        <v>0</v>
      </c>
      <c r="M14" t="n">
        <v>1</v>
      </c>
      <c r="N14" t="n">
        <v>0</v>
      </c>
      <c r="O14" t="n">
        <v>0</v>
      </c>
      <c r="P14" t="n">
        <v>0</v>
      </c>
      <c r="Q14" t="n">
        <v>1</v>
      </c>
      <c r="R14" t="n">
        <v>1</v>
      </c>
      <c r="S14" t="n">
        <v>2</v>
      </c>
      <c r="T14" t="n">
        <v>3</v>
      </c>
      <c r="U14" t="n">
        <v>0</v>
      </c>
      <c r="V14" s="2" t="inlineStr">
        <is>
          <t>Knölvial
Gullviva</t>
        </is>
      </c>
      <c r="W14">
        <f>HYPERLINK("https://klasma.github.io/Logging_0126/artfynd/A 25208-2026 artfynd.xlsx", "A 25208-2026")</f>
        <v/>
      </c>
      <c r="X14">
        <f>HYPERLINK("https://klasma.github.io/Logging_0126/kartor/A 25208-2026 karta.png", "A 25208-2026")</f>
        <v/>
      </c>
      <c r="Y14">
        <f>HYPERLINK("https://klasma.github.io/Logging_0126/kartor_geotiff/A 25208-2026 georefererad karta.tif", "A 25208-2026")</f>
        <v/>
      </c>
      <c r="AA14">
        <f>HYPERLINK("https://klasma.github.io/Logging_0126/klagomål/A 25208-2026 FSC-klagomål.docx", "A 25208-2026")</f>
        <v/>
      </c>
      <c r="AB14">
        <f>HYPERLINK("https://klasma.github.io/Logging_0126/klagomålsmail/A 25208-2026 FSC-klagomål mail.docx", "A 25208-2026")</f>
        <v/>
      </c>
      <c r="AC14">
        <f>HYPERLINK("https://klasma.github.io/Logging_0126/tillsyn/A 25208-2026 tillsynsbegäran.docx", "A 25208-2026")</f>
        <v/>
      </c>
      <c r="AD14">
        <f>HYPERLINK("https://klasma.github.io/Logging_0126/tillsynsmail/A 25208-2026 tillsynsbegäran mail.docx", "A 25208-2026")</f>
        <v/>
      </c>
    </row>
    <row r="15" ht="15" customHeight="1">
      <c r="A15" t="inlineStr">
        <is>
          <t>A 24257-2023</t>
        </is>
      </c>
      <c r="B15" t="inlineStr">
        <is>
          <t>avverkningsanmälan</t>
        </is>
      </c>
      <c r="C15" t="inlineStr">
        <is>
          <t>Föryngringsavverkning</t>
        </is>
      </c>
      <c r="D15" s="1" t="n">
        <v>45076</v>
      </c>
      <c r="E15" s="1" t="n">
        <v>46226</v>
      </c>
      <c r="F15" t="inlineStr">
        <is>
          <t>STOCKHOLMS LÄN</t>
        </is>
      </c>
      <c r="G15" t="inlineStr">
        <is>
          <t>HUDDINGE</t>
        </is>
      </c>
      <c r="I15" t="n">
        <v>1</v>
      </c>
      <c r="J15" t="n">
        <v>0</v>
      </c>
      <c r="K15" t="n">
        <v>0</v>
      </c>
      <c r="L15" t="n">
        <v>1</v>
      </c>
      <c r="M15" t="n">
        <v>0</v>
      </c>
      <c r="N15" t="n">
        <v>0</v>
      </c>
      <c r="O15" t="n">
        <v>0</v>
      </c>
      <c r="P15" t="n">
        <v>0</v>
      </c>
      <c r="Q15" t="n">
        <v>1</v>
      </c>
      <c r="R15" t="n">
        <v>0</v>
      </c>
      <c r="S15" t="n">
        <v>1</v>
      </c>
      <c r="T15" t="n">
        <v>1</v>
      </c>
      <c r="U15" t="n">
        <v>1</v>
      </c>
      <c r="V15" s="2" t="inlineStr">
        <is>
          <t>Kolflarnlav</t>
        </is>
      </c>
      <c r="W15">
        <f>HYPERLINK("https://klasma.github.io/Logging_0126/artfynd/A 24257-2023 artfynd.xlsx", "A 24257-2023")</f>
        <v/>
      </c>
      <c r="X15">
        <f>HYPERLINK("https://klasma.github.io/Logging_0126/kartor/A 24257-2023 karta.png", "A 24257-2023")</f>
        <v/>
      </c>
      <c r="Y15">
        <f>HYPERLINK("https://klasma.github.io/Logging_0126/kartor_geotiff/A 24257-2023 georefererad karta.tif", "A 24257-2023")</f>
        <v/>
      </c>
      <c r="AA15">
        <f>HYPERLINK("https://klasma.github.io/Logging_0126/klagomål/A 24257-2023 FSC-klagomål.docx", "A 24257-2023")</f>
        <v/>
      </c>
      <c r="AB15">
        <f>HYPERLINK("https://klasma.github.io/Logging_0126/klagomålsmail/A 24257-2023 FSC-klagomål mail.docx", "A 24257-2023")</f>
        <v/>
      </c>
      <c r="AC15">
        <f>HYPERLINK("https://klasma.github.io/Logging_0126/tillsyn/A 24257-2023 tillsynsbegäran.docx", "A 24257-2023")</f>
        <v/>
      </c>
      <c r="AD15">
        <f>HYPERLINK("https://klasma.github.io/Logging_0126/tillsynsmail/A 24257-2023 tillsynsbegäran mail.docx", "A 24257-2023")</f>
        <v/>
      </c>
    </row>
    <row r="16" ht="15" customHeight="1">
      <c r="A16" t="inlineStr">
        <is>
          <t>A 24262-2023</t>
        </is>
      </c>
      <c r="B16" t="inlineStr">
        <is>
          <t>avverkningsanmälan</t>
        </is>
      </c>
      <c r="C16" t="inlineStr">
        <is>
          <t>Föryngringsavverkning</t>
        </is>
      </c>
      <c r="D16" s="1" t="n">
        <v>45076</v>
      </c>
      <c r="E16" s="1" t="n">
        <v>46226</v>
      </c>
      <c r="F16" t="inlineStr">
        <is>
          <t>STOCKHOLMS LÄN</t>
        </is>
      </c>
      <c r="G16" t="inlineStr">
        <is>
          <t>HUDDINGE</t>
        </is>
      </c>
      <c r="I16" t="n">
        <v>2.5</v>
      </c>
      <c r="J16" t="n">
        <v>0</v>
      </c>
      <c r="K16" t="n">
        <v>1</v>
      </c>
      <c r="L16" t="n">
        <v>0</v>
      </c>
      <c r="M16" t="n">
        <v>0</v>
      </c>
      <c r="N16" t="n">
        <v>0</v>
      </c>
      <c r="O16" t="n">
        <v>0</v>
      </c>
      <c r="P16" t="n">
        <v>0</v>
      </c>
      <c r="Q16" t="n">
        <v>0</v>
      </c>
      <c r="R16" t="n">
        <v>0</v>
      </c>
      <c r="S16" t="n">
        <v>1</v>
      </c>
      <c r="T16" t="n">
        <v>1</v>
      </c>
      <c r="U16" t="n">
        <v>1</v>
      </c>
      <c r="V16" s="2" t="inlineStr">
        <is>
          <t>Tibast</t>
        </is>
      </c>
      <c r="W16">
        <f>HYPERLINK("https://klasma.github.io/Logging_0126/artfynd/A 24262-2023 artfynd.xlsx", "A 24262-2023")</f>
        <v/>
      </c>
      <c r="X16">
        <f>HYPERLINK("https://klasma.github.io/Logging_0126/kartor/A 24262-2023 karta.png", "A 24262-2023")</f>
        <v/>
      </c>
      <c r="Y16">
        <f>HYPERLINK("https://klasma.github.io/Logging_0126/kartor_geotiff/A 24262-2023 georefererad karta.tif", "A 24262-2023")</f>
        <v/>
      </c>
      <c r="AA16">
        <f>HYPERLINK("https://klasma.github.io/Logging_0126/klagomål/A 24262-2023 FSC-klagomål.docx", "A 24262-2023")</f>
        <v/>
      </c>
      <c r="AB16">
        <f>HYPERLINK("https://klasma.github.io/Logging_0126/klagomålsmail/A 24262-2023 FSC-klagomål mail.docx", "A 24262-2023")</f>
        <v/>
      </c>
      <c r="AC16">
        <f>HYPERLINK("https://klasma.github.io/Logging_0126/tillsyn/A 24262-2023 tillsynsbegäran.docx", "A 24262-2023")</f>
        <v/>
      </c>
      <c r="AD16">
        <f>HYPERLINK("https://klasma.github.io/Logging_0126/tillsynsmail/A 24262-2023 tillsynsbegäran mail.docx", "A 24262-2023")</f>
        <v/>
      </c>
    </row>
    <row r="17" ht="15" customHeight="1">
      <c r="A17" t="inlineStr">
        <is>
          <t>A 24363-2023</t>
        </is>
      </c>
      <c r="B17" t="inlineStr">
        <is>
          <t>avverkningsanmälan</t>
        </is>
      </c>
      <c r="C17" t="inlineStr">
        <is>
          <t>Föryngringsavverkning</t>
        </is>
      </c>
      <c r="D17" s="1" t="n">
        <v>45076</v>
      </c>
      <c r="E17" s="1" t="n">
        <v>46226</v>
      </c>
      <c r="F17" t="inlineStr">
        <is>
          <t>STOCKHOLMS LÄN</t>
        </is>
      </c>
      <c r="G17" t="inlineStr">
        <is>
          <t>HUDDINGE</t>
        </is>
      </c>
      <c r="I17" t="n">
        <v>2.4</v>
      </c>
      <c r="J17" t="n">
        <v>1</v>
      </c>
      <c r="K17" t="n">
        <v>0</v>
      </c>
      <c r="L17" t="n">
        <v>0</v>
      </c>
      <c r="M17" t="n">
        <v>0</v>
      </c>
      <c r="N17" t="n">
        <v>0</v>
      </c>
      <c r="O17" t="n">
        <v>0</v>
      </c>
      <c r="P17" t="n">
        <v>0</v>
      </c>
      <c r="Q17" t="n">
        <v>0</v>
      </c>
      <c r="R17" t="n">
        <v>0</v>
      </c>
      <c r="S17" t="n">
        <v>1</v>
      </c>
      <c r="T17" t="n">
        <v>1</v>
      </c>
      <c r="U17" t="n">
        <v>1</v>
      </c>
      <c r="V17" s="2" t="inlineStr">
        <is>
          <t>Revlummer</t>
        </is>
      </c>
      <c r="W17">
        <f>HYPERLINK("https://klasma.github.io/Logging_0126/artfynd/A 24363-2023 artfynd.xlsx", "A 24363-2023")</f>
        <v/>
      </c>
      <c r="X17">
        <f>HYPERLINK("https://klasma.github.io/Logging_0126/kartor/A 24363-2023 karta.png", "A 24363-2023")</f>
        <v/>
      </c>
      <c r="Y17">
        <f>HYPERLINK("https://klasma.github.io/Logging_0126/kartor_geotiff/A 24363-2023 georefererad karta.tif", "A 24363-2023")</f>
        <v/>
      </c>
      <c r="AA17">
        <f>HYPERLINK("https://klasma.github.io/Logging_0126/klagomål/A 24363-2023 FSC-klagomål.docx", "A 24363-2023")</f>
        <v/>
      </c>
      <c r="AB17">
        <f>HYPERLINK("https://klasma.github.io/Logging_0126/klagomålsmail/A 24363-2023 FSC-klagomål mail.docx", "A 24363-2023")</f>
        <v/>
      </c>
      <c r="AC17">
        <f>HYPERLINK("https://klasma.github.io/Logging_0126/tillsyn/A 24363-2023 tillsynsbegäran.docx", "A 24363-2023")</f>
        <v/>
      </c>
      <c r="AD17">
        <f>HYPERLINK("https://klasma.github.io/Logging_0126/tillsynsmail/A 24363-2023 tillsynsbegäran mail.docx", "A 24363-2023")</f>
        <v/>
      </c>
    </row>
    <row r="18" ht="15" customHeight="1">
      <c r="A18" t="inlineStr">
        <is>
          <t>A 491-2026</t>
        </is>
      </c>
      <c r="B18" t="inlineStr">
        <is>
          <t>avverkningsanmälan</t>
        </is>
      </c>
      <c r="C18" t="inlineStr">
        <is>
          <t>Föryngringsavverkning</t>
        </is>
      </c>
      <c r="D18" s="1" t="n">
        <v>46029</v>
      </c>
      <c r="E18" s="1" t="n">
        <v>46226</v>
      </c>
      <c r="F18" t="inlineStr">
        <is>
          <t>STOCKHOLMS LÄN</t>
        </is>
      </c>
      <c r="G18" t="inlineStr">
        <is>
          <t>HUDDINGE</t>
        </is>
      </c>
      <c r="I18" t="n">
        <v>3.2</v>
      </c>
      <c r="J18" t="n">
        <v>1</v>
      </c>
      <c r="K18" t="n">
        <v>0</v>
      </c>
      <c r="L18" t="n">
        <v>0</v>
      </c>
      <c r="M18" t="n">
        <v>0</v>
      </c>
      <c r="N18" t="n">
        <v>0</v>
      </c>
      <c r="O18" t="n">
        <v>0</v>
      </c>
      <c r="P18" t="n">
        <v>0</v>
      </c>
      <c r="Q18" t="n">
        <v>0</v>
      </c>
      <c r="R18" t="n">
        <v>0</v>
      </c>
      <c r="S18" t="n">
        <v>1</v>
      </c>
      <c r="T18" t="n">
        <v>2</v>
      </c>
      <c r="U18" t="n">
        <v>0</v>
      </c>
      <c r="V18" s="2" t="inlineStr">
        <is>
          <t>Blåsippa</t>
        </is>
      </c>
      <c r="W18">
        <f>HYPERLINK("https://klasma.github.io/Logging_0126/artfynd/A 491-2026 artfynd.xlsx", "A 491-2026")</f>
        <v/>
      </c>
      <c r="X18">
        <f>HYPERLINK("https://klasma.github.io/Logging_0126/kartor/A 491-2026 karta.png", "A 491-2026")</f>
        <v/>
      </c>
      <c r="Y18">
        <f>HYPERLINK("https://klasma.github.io/Logging_0126/kartor_geotiff/A 491-2026 georefererad karta.tif", "A 491-2026")</f>
        <v/>
      </c>
      <c r="AA18">
        <f>HYPERLINK("https://klasma.github.io/Logging_0126/klagomål/A 491-2026 FSC-klagomål.docx", "A 491-2026")</f>
        <v/>
      </c>
      <c r="AB18">
        <f>HYPERLINK("https://klasma.github.io/Logging_0126/klagomålsmail/A 491-2026 FSC-klagomål mail.docx", "A 491-2026")</f>
        <v/>
      </c>
      <c r="AC18">
        <f>HYPERLINK("https://klasma.github.io/Logging_0126/tillsyn/A 491-2026 tillsynsbegäran.docx", "A 491-2026")</f>
        <v/>
      </c>
      <c r="AD18">
        <f>HYPERLINK("https://klasma.github.io/Logging_0126/tillsynsmail/A 491-2026 tillsynsbegäran mail.docx", "A 491-2026")</f>
        <v/>
      </c>
    </row>
    <row r="19" ht="15" customHeight="1">
      <c r="A19" t="inlineStr">
        <is>
          <t>A 24233-2023</t>
        </is>
      </c>
      <c r="B19" t="inlineStr">
        <is>
          <t>avverkningsanmälan</t>
        </is>
      </c>
      <c r="C19" t="inlineStr">
        <is>
          <t>Föryngringsavverkning</t>
        </is>
      </c>
      <c r="D19" s="1" t="n">
        <v>45076</v>
      </c>
      <c r="E19" s="1" t="n">
        <v>46226</v>
      </c>
      <c r="F19" t="inlineStr">
        <is>
          <t>STOCKHOLMS LÄN</t>
        </is>
      </c>
      <c r="G19" t="inlineStr">
        <is>
          <t>HUDDINGE</t>
        </is>
      </c>
      <c r="I19" t="n">
        <v>3.7</v>
      </c>
      <c r="J19" t="n">
        <v>0</v>
      </c>
      <c r="K19" t="n">
        <v>0</v>
      </c>
      <c r="L19" t="n">
        <v>1</v>
      </c>
      <c r="M19" t="n">
        <v>0</v>
      </c>
      <c r="N19" t="n">
        <v>0</v>
      </c>
      <c r="O19" t="n">
        <v>0</v>
      </c>
      <c r="P19" t="n">
        <v>0</v>
      </c>
      <c r="Q19" t="n">
        <v>1</v>
      </c>
      <c r="R19" t="n">
        <v>0</v>
      </c>
      <c r="S19" t="n">
        <v>1</v>
      </c>
      <c r="T19" t="n">
        <v>1</v>
      </c>
      <c r="U19" t="n">
        <v>1</v>
      </c>
      <c r="V19" s="2" t="inlineStr">
        <is>
          <t>Svartvit taggsvamp</t>
        </is>
      </c>
      <c r="W19">
        <f>HYPERLINK("https://klasma.github.io/Logging_0126/artfynd/A 24233-2023 artfynd.xlsx", "A 24233-2023")</f>
        <v/>
      </c>
      <c r="X19">
        <f>HYPERLINK("https://klasma.github.io/Logging_0126/kartor/A 24233-2023 karta.png", "A 24233-2023")</f>
        <v/>
      </c>
      <c r="Y19">
        <f>HYPERLINK("https://klasma.github.io/Logging_0126/kartor_geotiff/A 24233-2023 georefererad karta.tif", "A 24233-2023")</f>
        <v/>
      </c>
      <c r="AA19">
        <f>HYPERLINK("https://klasma.github.io/Logging_0126/klagomål/A 24233-2023 FSC-klagomål.docx", "A 24233-2023")</f>
        <v/>
      </c>
      <c r="AB19">
        <f>HYPERLINK("https://klasma.github.io/Logging_0126/klagomålsmail/A 24233-2023 FSC-klagomål mail.docx", "A 24233-2023")</f>
        <v/>
      </c>
      <c r="AC19">
        <f>HYPERLINK("https://klasma.github.io/Logging_0126/tillsyn/A 24233-2023 tillsynsbegäran.docx", "A 24233-2023")</f>
        <v/>
      </c>
      <c r="AD19">
        <f>HYPERLINK("https://klasma.github.io/Logging_0126/tillsynsmail/A 24233-2023 tillsynsbegäran mail.docx", "A 24233-2023")</f>
        <v/>
      </c>
    </row>
    <row r="20" ht="15" customHeight="1">
      <c r="A20" t="inlineStr">
        <is>
          <t>A 27561-2025</t>
        </is>
      </c>
      <c r="B20" t="inlineStr">
        <is>
          <t>avverkningsanmälan</t>
        </is>
      </c>
      <c r="C20" t="inlineStr">
        <is>
          <t>Föryngringsavverkning</t>
        </is>
      </c>
      <c r="D20" s="1" t="n">
        <v>45813</v>
      </c>
      <c r="E20" s="1" t="n">
        <v>46226</v>
      </c>
      <c r="F20" t="inlineStr">
        <is>
          <t>STOCKHOLMS LÄN</t>
        </is>
      </c>
      <c r="G20" t="inlineStr">
        <is>
          <t>HUDDINGE</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47173-2022</t>
        </is>
      </c>
      <c r="B21" t="inlineStr">
        <is>
          <t>avverkningsanmälan</t>
        </is>
      </c>
      <c r="C21" t="inlineStr">
        <is>
          <t>Föryngringsavverkning</t>
        </is>
      </c>
      <c r="D21" s="1" t="n">
        <v>44852</v>
      </c>
      <c r="E21" s="1" t="n">
        <v>46226</v>
      </c>
      <c r="F21" t="inlineStr">
        <is>
          <t>STOCKHOLMS LÄN</t>
        </is>
      </c>
      <c r="G21" t="inlineStr">
        <is>
          <t>HUDDINGE</t>
        </is>
      </c>
      <c r="I21" t="n">
        <v>1.9</v>
      </c>
      <c r="J21" t="n">
        <v>0</v>
      </c>
      <c r="K21" t="n">
        <v>0</v>
      </c>
      <c r="L21" t="n">
        <v>0</v>
      </c>
      <c r="M21" t="n">
        <v>0</v>
      </c>
      <c r="N21" t="n">
        <v>0</v>
      </c>
      <c r="O21" t="n">
        <v>0</v>
      </c>
      <c r="P21" t="n">
        <v>0</v>
      </c>
      <c r="Q21" t="n">
        <v>0</v>
      </c>
      <c r="R21" t="n">
        <v>0</v>
      </c>
      <c r="S21" t="n">
        <v>0</v>
      </c>
      <c r="T21" t="n">
        <v>0</v>
      </c>
      <c r="U21" t="n">
        <v>0</v>
      </c>
      <c r="V21" s="2" t="inlineStr"/>
    </row>
    <row r="22" ht="15" customHeight="1">
      <c r="A22" t="inlineStr">
        <is>
          <t>A 35404-2022</t>
        </is>
      </c>
      <c r="B22" t="inlineStr">
        <is>
          <t>avverkningsanmälan</t>
        </is>
      </c>
      <c r="C22" t="inlineStr">
        <is>
          <t>Föryngringsavverkning</t>
        </is>
      </c>
      <c r="D22" s="1" t="n">
        <v>44798</v>
      </c>
      <c r="E22" s="1" t="n">
        <v>46226</v>
      </c>
      <c r="F22" t="inlineStr">
        <is>
          <t>STOCKHOLMS LÄN</t>
        </is>
      </c>
      <c r="G22" t="inlineStr">
        <is>
          <t>HUDDINGE</t>
        </is>
      </c>
      <c r="H22" t="inlineStr">
        <is>
          <t>Kommuner</t>
        </is>
      </c>
      <c r="I22" t="n">
        <v>1.4</v>
      </c>
      <c r="J22" t="n">
        <v>0</v>
      </c>
      <c r="K22" t="n">
        <v>0</v>
      </c>
      <c r="L22" t="n">
        <v>0</v>
      </c>
      <c r="M22" t="n">
        <v>0</v>
      </c>
      <c r="N22" t="n">
        <v>0</v>
      </c>
      <c r="O22" t="n">
        <v>0</v>
      </c>
      <c r="P22" t="n">
        <v>0</v>
      </c>
      <c r="Q22" t="n">
        <v>0</v>
      </c>
      <c r="R22" t="n">
        <v>0</v>
      </c>
      <c r="S22" t="n">
        <v>0</v>
      </c>
      <c r="T22" t="n">
        <v>0</v>
      </c>
      <c r="U22" t="n">
        <v>0</v>
      </c>
      <c r="V22" s="2" t="inlineStr"/>
    </row>
    <row r="23">
      <c r="A23" t="inlineStr">
        <is>
          <t>A 31246-2022</t>
        </is>
      </c>
      <c r="B23" t="inlineStr">
        <is>
          <t>avverkningsanmälan</t>
        </is>
      </c>
      <c r="C23" t="inlineStr">
        <is>
          <t>Avverkning för annat ändamål</t>
        </is>
      </c>
      <c r="D23" s="1" t="n">
        <v>44771</v>
      </c>
      <c r="E23" s="1" t="n">
        <v>46226</v>
      </c>
      <c r="F23" t="inlineStr">
        <is>
          <t>STOCKHOLMS LÄN</t>
        </is>
      </c>
      <c r="G23" t="inlineStr">
        <is>
          <t>HUDDINGE</t>
        </is>
      </c>
      <c r="I23" t="n">
        <v>4.3</v>
      </c>
      <c r="J23" t="n">
        <v>0</v>
      </c>
      <c r="K23" t="n">
        <v>0</v>
      </c>
      <c r="L23" t="n">
        <v>0</v>
      </c>
      <c r="M23" t="n">
        <v>0</v>
      </c>
      <c r="N23" t="n">
        <v>0</v>
      </c>
      <c r="O23" t="n">
        <v>0</v>
      </c>
      <c r="P23" t="n">
        <v>0</v>
      </c>
      <c r="Q23" t="n">
        <v>0</v>
      </c>
      <c r="R23" t="n">
        <v>0</v>
      </c>
      <c r="S23" t="n">
        <v>0</v>
      </c>
      <c r="T23" t="n">
        <v>0</v>
      </c>
      <c r="U23" t="n">
        <v>0</v>
      </c>
      <c r="V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2026-07-23T01:42:58Z</dcterms:created>
  <dcterms:modified xmlns:dcterms="http://purl.org/dc/terms/" xmlns:xsi="http://www.w3.org/2001/XMLSchema-instance" xsi:type="dcterms:W3CDTF">2026-07-23T01:42:58Z</dcterms:modified>
</cp:coreProperties>
</file>