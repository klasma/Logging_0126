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45894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45894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45894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45894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45894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9945-2021</t>
        </is>
      </c>
      <c r="B7" s="1" t="n">
        <v>44253</v>
      </c>
      <c r="C7" s="1" t="n">
        <v>45894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HYPERLINK("https://klasma.github.io/Logging_0126/artfynd/A 9945-2021 artfynd.xlsx", "A 9945-2021")</f>
        <v/>
      </c>
      <c r="T7">
        <f>HYPERLINK("https://klasma.github.io/Logging_0126/kartor/A 9945-2021 karta.png", "A 9945-2021")</f>
        <v/>
      </c>
      <c r="V7">
        <f>HYPERLINK("https://klasma.github.io/Logging_0126/klagomål/A 9945-2021 FSC-klagomål.docx", "A 9945-2021")</f>
        <v/>
      </c>
      <c r="W7">
        <f>HYPERLINK("https://klasma.github.io/Logging_0126/klagomålsmail/A 9945-2021 FSC-klagomål mail.docx", "A 9945-2021")</f>
        <v/>
      </c>
      <c r="X7">
        <f>HYPERLINK("https://klasma.github.io/Logging_0126/tillsyn/A 9945-2021 tillsynsbegäran.docx", "A 9945-2021")</f>
        <v/>
      </c>
      <c r="Y7">
        <f>HYPERLINK("https://klasma.github.io/Logging_0126/tillsynsmail/A 9945-2021 tillsynsbegäran mail.docx", "A 9945-2021")</f>
        <v/>
      </c>
      <c r="Z7">
        <f>HYPERLINK("https://klasma.github.io/Logging_0126/fåglar/A 9945-2021 prioriterade fågelarter.docx", "A 9945-2021")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45894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24262-2023</t>
        </is>
      </c>
      <c r="B9" s="1" t="n">
        <v>45076</v>
      </c>
      <c r="C9" s="1" t="n">
        <v>45894</v>
      </c>
      <c r="D9" t="inlineStr">
        <is>
          <t>STOCKHOLMS LÄN</t>
        </is>
      </c>
      <c r="E9" t="inlineStr">
        <is>
          <t>HUDDINGE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HYPERLINK("https://klasma.github.io/Logging_0126/artfynd/A 24262-2023 artfynd.xlsx", "A 24262-2023")</f>
        <v/>
      </c>
      <c r="T9">
        <f>HYPERLINK("https://klasma.github.io/Logging_0126/kartor/A 24262-2023 karta.png", "A 24262-2023")</f>
        <v/>
      </c>
      <c r="V9">
        <f>HYPERLINK("https://klasma.github.io/Logging_0126/klagomål/A 24262-2023 FSC-klagomål.docx", "A 24262-2023")</f>
        <v/>
      </c>
      <c r="W9">
        <f>HYPERLINK("https://klasma.github.io/Logging_0126/klagomålsmail/A 24262-2023 FSC-klagomål mail.docx", "A 24262-2023")</f>
        <v/>
      </c>
      <c r="X9">
        <f>HYPERLINK("https://klasma.github.io/Logging_0126/tillsyn/A 24262-2023 tillsynsbegäran.docx", "A 24262-2023")</f>
        <v/>
      </c>
      <c r="Y9">
        <f>HYPERLINK("https://klasma.github.io/Logging_0126/tillsynsmail/A 24262-2023 tillsynsbegäran mail.docx", "A 24262-2023")</f>
        <v/>
      </c>
    </row>
    <row r="10" ht="15" customHeight="1">
      <c r="A10" t="inlineStr">
        <is>
          <t>A 49421-2023</t>
        </is>
      </c>
      <c r="B10" s="1" t="n">
        <v>45211</v>
      </c>
      <c r="C10" s="1" t="n">
        <v>45894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Grönfink</t>
        </is>
      </c>
      <c r="S10">
        <f>HYPERLINK("https://klasma.github.io/Logging_0126/artfynd/A 49421-2023 artfynd.xlsx", "A 49421-2023")</f>
        <v/>
      </c>
      <c r="T10">
        <f>HYPERLINK("https://klasma.github.io/Logging_0126/kartor/A 49421-2023 karta.png", "A 49421-2023")</f>
        <v/>
      </c>
      <c r="V10">
        <f>HYPERLINK("https://klasma.github.io/Logging_0126/klagomål/A 49421-2023 FSC-klagomål.docx", "A 49421-2023")</f>
        <v/>
      </c>
      <c r="W10">
        <f>HYPERLINK("https://klasma.github.io/Logging_0126/klagomålsmail/A 49421-2023 FSC-klagomål mail.docx", "A 49421-2023")</f>
        <v/>
      </c>
      <c r="X10">
        <f>HYPERLINK("https://klasma.github.io/Logging_0126/tillsyn/A 49421-2023 tillsynsbegäran.docx", "A 49421-2023")</f>
        <v/>
      </c>
      <c r="Y10">
        <f>HYPERLINK("https://klasma.github.io/Logging_0126/tillsynsmail/A 49421-2023 tillsynsbegäran mail.docx", "A 49421-2023")</f>
        <v/>
      </c>
      <c r="Z10">
        <f>HYPERLINK("https://klasma.github.io/Logging_0126/fåglar/A 49421-2023 prioriterade fågelarter.docx", "A 49421-2023")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45894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24233-2023</t>
        </is>
      </c>
      <c r="B12" s="1" t="n">
        <v>45076</v>
      </c>
      <c r="C12" s="1" t="n">
        <v>45894</v>
      </c>
      <c r="D12" t="inlineStr">
        <is>
          <t>STOCKHOLMS LÄN</t>
        </is>
      </c>
      <c r="E12" t="inlineStr">
        <is>
          <t>HUDDINGE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taggsvamp</t>
        </is>
      </c>
      <c r="S12">
        <f>HYPERLINK("https://klasma.github.io/Logging_0126/artfynd/A 24233-2023 artfynd.xlsx", "A 24233-2023")</f>
        <v/>
      </c>
      <c r="T12">
        <f>HYPERLINK("https://klasma.github.io/Logging_0126/kartor/A 24233-2023 karta.png", "A 24233-2023")</f>
        <v/>
      </c>
      <c r="V12">
        <f>HYPERLINK("https://klasma.github.io/Logging_0126/klagomål/A 24233-2023 FSC-klagomål.docx", "A 24233-2023")</f>
        <v/>
      </c>
      <c r="W12">
        <f>HYPERLINK("https://klasma.github.io/Logging_0126/klagomålsmail/A 24233-2023 FSC-klagomål mail.docx", "A 24233-2023")</f>
        <v/>
      </c>
      <c r="X12">
        <f>HYPERLINK("https://klasma.github.io/Logging_0126/tillsyn/A 24233-2023 tillsynsbegäran.docx", "A 24233-2023")</f>
        <v/>
      </c>
      <c r="Y12">
        <f>HYPERLINK("https://klasma.github.io/Logging_0126/tillsynsmail/A 24233-2023 tillsynsbegäran mail.docx", "A 24233-2023")</f>
        <v/>
      </c>
    </row>
    <row r="13" ht="15" customHeight="1">
      <c r="A13" t="inlineStr">
        <is>
          <t>A 32508-2022</t>
        </is>
      </c>
      <c r="B13" s="1" t="n">
        <v>44782</v>
      </c>
      <c r="C13" s="1" t="n">
        <v>45894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45894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24257-2023</t>
        </is>
      </c>
      <c r="B15" s="1" t="n">
        <v>45076</v>
      </c>
      <c r="C15" s="1" t="n">
        <v>45894</v>
      </c>
      <c r="D15" t="inlineStr">
        <is>
          <t>STOCKHOLMS LÄN</t>
        </is>
      </c>
      <c r="E15" t="inlineStr">
        <is>
          <t>HUDDINGE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47173-2022</t>
        </is>
      </c>
      <c r="B16" s="1" t="n">
        <v>44852</v>
      </c>
      <c r="C16" s="1" t="n">
        <v>45894</v>
      </c>
      <c r="D16" t="inlineStr">
        <is>
          <t>STOCKHOLMS LÄN</t>
        </is>
      </c>
      <c r="E16" t="inlineStr">
        <is>
          <t>HUDDINGE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58260-2020</t>
        </is>
      </c>
      <c r="B17" s="1" t="n">
        <v>44144</v>
      </c>
      <c r="C17" s="1" t="n">
        <v>45894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45894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27561-2025</t>
        </is>
      </c>
      <c r="B19" s="1" t="n">
        <v>45813.48378472222</v>
      </c>
      <c r="C19" s="1" t="n">
        <v>45894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27589-2025</t>
        </is>
      </c>
      <c r="B20" s="1" t="n">
        <v>45813.51070601852</v>
      </c>
      <c r="C20" s="1" t="n">
        <v>45894</v>
      </c>
      <c r="D20" t="inlineStr">
        <is>
          <t>STOCKHOLMS LÄN</t>
        </is>
      </c>
      <c r="E20" t="inlineStr">
        <is>
          <t>HUDDINGE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31246-2022</t>
        </is>
      </c>
      <c r="B21" s="1" t="n">
        <v>44771</v>
      </c>
      <c r="C21" s="1" t="n">
        <v>45894</v>
      </c>
      <c r="D21" t="inlineStr">
        <is>
          <t>STOCKHOLMS LÄN</t>
        </is>
      </c>
      <c r="E21" t="inlineStr">
        <is>
          <t>HUDDINGE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45415.44597222222</v>
      </c>
      <c r="C22" s="1" t="n">
        <v>45894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24363-2023</t>
        </is>
      </c>
      <c r="B23" s="1" t="n">
        <v>45076</v>
      </c>
      <c r="C23" s="1" t="n">
        <v>45894</v>
      </c>
      <c r="D23" t="inlineStr">
        <is>
          <t>STOCKHOLMS LÄN</t>
        </is>
      </c>
      <c r="E23" t="inlineStr">
        <is>
          <t>HUDDINGE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2025-08-25T08:28:52Z</dcterms:created>
  <dcterms:modified xmlns:dcterms="http://purl.org/dc/terms/" xmlns:xsi="http://www.w3.org/2001/XMLSchema-instance" xsi:type="dcterms:W3CDTF">2025-08-25T08:28:52Z</dcterms:modified>
</cp:coreProperties>
</file>