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40110-2025</t>
        </is>
      </c>
      <c r="B4" s="1" t="n">
        <v>45894.49097222222</v>
      </c>
      <c r="C4" s="1" t="n">
        <v>45927</v>
      </c>
      <c r="D4" t="inlineStr">
        <is>
          <t>STOCKHOLMS LÄN</t>
        </is>
      </c>
      <c r="E4" t="inlineStr">
        <is>
          <t>HUDDINGE</t>
        </is>
      </c>
      <c r="G4" t="n">
        <v>21.4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Motaggsvamp
Orange taggsvamp
Tallticka
Talltita
Björksplintborre
Fjällig taggsvamp s.str.
Stubbspretmossa
Tjockfotad fingersvamp</t>
        </is>
      </c>
      <c r="S4">
        <f>HYPERLINK("https://klasma.github.io/Logging_0126/artfynd/A 40110-2025 artfynd.xlsx", "A 40110-2025")</f>
        <v/>
      </c>
      <c r="T4">
        <f>HYPERLINK("https://klasma.github.io/Logging_0126/kartor/A 40110-2025 karta.png", "A 40110-2025")</f>
        <v/>
      </c>
      <c r="U4">
        <f>HYPERLINK("https://klasma.github.io/Logging_0126/knärot/A 40110-2025 karta knärot.png", "A 40110-2025")</f>
        <v/>
      </c>
      <c r="V4">
        <f>HYPERLINK("https://klasma.github.io/Logging_0126/klagomål/A 40110-2025 FSC-klagomål.docx", "A 40110-2025")</f>
        <v/>
      </c>
      <c r="W4">
        <f>HYPERLINK("https://klasma.github.io/Logging_0126/klagomålsmail/A 40110-2025 FSC-klagomål mail.docx", "A 40110-2025")</f>
        <v/>
      </c>
      <c r="X4">
        <f>HYPERLINK("https://klasma.github.io/Logging_0126/tillsyn/A 40110-2025 tillsynsbegäran.docx", "A 40110-2025")</f>
        <v/>
      </c>
      <c r="Y4">
        <f>HYPERLINK("https://klasma.github.io/Logging_0126/tillsynsmail/A 40110-2025 tillsynsbegäran mail.docx", "A 40110-2025")</f>
        <v/>
      </c>
      <c r="Z4">
        <f>HYPERLINK("https://klasma.github.io/Logging_0126/fåglar/A 40110-2025 prioriterade fågelarter.docx", "A 40110-2025")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45927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45927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45927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45927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45927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45927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45927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45927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45927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45927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45927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45927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45927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45927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45927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45927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45927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45927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45927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45927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