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46079</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46079</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46079</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46079</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46079</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46079</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46079</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46079</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24262-2023</t>
        </is>
      </c>
      <c r="B10" s="1" t="n">
        <v>45076</v>
      </c>
      <c r="C10" s="1" t="n">
        <v>46079</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49421-2023</t>
        </is>
      </c>
      <c r="B11" s="1" t="n">
        <v>45211</v>
      </c>
      <c r="C11" s="1" t="n">
        <v>46079</v>
      </c>
      <c r="D11" t="inlineStr">
        <is>
          <t>STOCKHOLMS LÄN</t>
        </is>
      </c>
      <c r="E11" t="inlineStr">
        <is>
          <t>HUDDINGE</t>
        </is>
      </c>
      <c r="F11" t="inlineStr">
        <is>
          <t>Kommuner</t>
        </is>
      </c>
      <c r="G11" t="n">
        <v>1.4</v>
      </c>
      <c r="H11" t="n">
        <v>1</v>
      </c>
      <c r="I11" t="n">
        <v>0</v>
      </c>
      <c r="J11" t="n">
        <v>0</v>
      </c>
      <c r="K11" t="n">
        <v>0</v>
      </c>
      <c r="L11" t="n">
        <v>1</v>
      </c>
      <c r="M11" t="n">
        <v>0</v>
      </c>
      <c r="N11" t="n">
        <v>0</v>
      </c>
      <c r="O11" t="n">
        <v>1</v>
      </c>
      <c r="P11" t="n">
        <v>1</v>
      </c>
      <c r="Q11" t="n">
        <v>1</v>
      </c>
      <c r="R11" s="2" t="inlineStr">
        <is>
          <t>Grönfink</t>
        </is>
      </c>
      <c r="S11">
        <f>HYPERLINK("https://klasma.github.io/Logging_0126/artfynd/A 49421-2023 artfynd.xlsx", "A 49421-2023")</f>
        <v/>
      </c>
      <c r="T11">
        <f>HYPERLINK("https://klasma.github.io/Logging_0126/kartor/A 49421-2023 karta.png", "A 49421-2023")</f>
        <v/>
      </c>
      <c r="V11">
        <f>HYPERLINK("https://klasma.github.io/Logging_0126/klagomål/A 49421-2023 FSC-klagomål.docx", "A 49421-2023")</f>
        <v/>
      </c>
      <c r="W11">
        <f>HYPERLINK("https://klasma.github.io/Logging_0126/klagomålsmail/A 49421-2023 FSC-klagomål mail.docx", "A 49421-2023")</f>
        <v/>
      </c>
      <c r="X11">
        <f>HYPERLINK("https://klasma.github.io/Logging_0126/tillsyn/A 49421-2023 tillsynsbegäran.docx", "A 49421-2023")</f>
        <v/>
      </c>
      <c r="Y11">
        <f>HYPERLINK("https://klasma.github.io/Logging_0126/tillsynsmail/A 49421-2023 tillsynsbegäran mail.docx", "A 49421-2023")</f>
        <v/>
      </c>
      <c r="Z11">
        <f>HYPERLINK("https://klasma.github.io/Logging_0126/fåglar/A 49421-2023 prioriterade fågelarter.docx", "A 49421-2023")</f>
        <v/>
      </c>
    </row>
    <row r="12" ht="15" customHeight="1">
      <c r="A12" t="inlineStr">
        <is>
          <t>A 24384-2023</t>
        </is>
      </c>
      <c r="B12" s="1" t="n">
        <v>45076</v>
      </c>
      <c r="C12" s="1" t="n">
        <v>46079</v>
      </c>
      <c r="D12" t="inlineStr">
        <is>
          <t>STOCKHOLMS LÄN</t>
        </is>
      </c>
      <c r="E12" t="inlineStr">
        <is>
          <t>HUDDINGE</t>
        </is>
      </c>
      <c r="G12" t="n">
        <v>1</v>
      </c>
      <c r="H12" t="n">
        <v>0</v>
      </c>
      <c r="I12" t="n">
        <v>0</v>
      </c>
      <c r="J12" t="n">
        <v>1</v>
      </c>
      <c r="K12" t="n">
        <v>0</v>
      </c>
      <c r="L12" t="n">
        <v>0</v>
      </c>
      <c r="M12" t="n">
        <v>0</v>
      </c>
      <c r="N12" t="n">
        <v>0</v>
      </c>
      <c r="O12" t="n">
        <v>1</v>
      </c>
      <c r="P12" t="n">
        <v>0</v>
      </c>
      <c r="Q12" t="n">
        <v>1</v>
      </c>
      <c r="R12" s="2" t="inlineStr">
        <is>
          <t>Kolflarnlav</t>
        </is>
      </c>
      <c r="S12">
        <f>HYPERLINK("https://klasma.github.io/Logging_0126/artfynd/A 24384-2023 artfynd.xlsx", "A 24384-2023")</f>
        <v/>
      </c>
      <c r="T12">
        <f>HYPERLINK("https://klasma.github.io/Logging_0126/kartor/A 24384-2023 karta.png", "A 24384-2023")</f>
        <v/>
      </c>
      <c r="V12">
        <f>HYPERLINK("https://klasma.github.io/Logging_0126/klagomål/A 24384-2023 FSC-klagomål.docx", "A 24384-2023")</f>
        <v/>
      </c>
      <c r="W12">
        <f>HYPERLINK("https://klasma.github.io/Logging_0126/klagomålsmail/A 24384-2023 FSC-klagomål mail.docx", "A 24384-2023")</f>
        <v/>
      </c>
      <c r="X12">
        <f>HYPERLINK("https://klasma.github.io/Logging_0126/tillsyn/A 24384-2023 tillsynsbegäran.docx", "A 24384-2023")</f>
        <v/>
      </c>
      <c r="Y12">
        <f>HYPERLINK("https://klasma.github.io/Logging_0126/tillsynsmail/A 24384-2023 tillsynsbegäran mail.docx", "A 24384-2023")</f>
        <v/>
      </c>
    </row>
    <row r="13" ht="15" customHeight="1">
      <c r="A13" t="inlineStr">
        <is>
          <t>A 24368-2023</t>
        </is>
      </c>
      <c r="B13" s="1" t="n">
        <v>45076</v>
      </c>
      <c r="C13" s="1" t="n">
        <v>46079</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24233-2023</t>
        </is>
      </c>
      <c r="B14" s="1" t="n">
        <v>45076</v>
      </c>
      <c r="C14" s="1" t="n">
        <v>46079</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491-2026</t>
        </is>
      </c>
      <c r="B15" s="1" t="n">
        <v>46029.42581018519</v>
      </c>
      <c r="C15" s="1" t="n">
        <v>46079</v>
      </c>
      <c r="D15" t="inlineStr">
        <is>
          <t>STOCKHOLMS LÄN</t>
        </is>
      </c>
      <c r="E15" t="inlineStr">
        <is>
          <t>HUDDINGE</t>
        </is>
      </c>
      <c r="G15" t="n">
        <v>3.2</v>
      </c>
      <c r="H15" t="n">
        <v>1</v>
      </c>
      <c r="I15" t="n">
        <v>0</v>
      </c>
      <c r="J15" t="n">
        <v>0</v>
      </c>
      <c r="K15" t="n">
        <v>0</v>
      </c>
      <c r="L15" t="n">
        <v>0</v>
      </c>
      <c r="M15" t="n">
        <v>0</v>
      </c>
      <c r="N15" t="n">
        <v>0</v>
      </c>
      <c r="O15" t="n">
        <v>0</v>
      </c>
      <c r="P15" t="n">
        <v>0</v>
      </c>
      <c r="Q15" t="n">
        <v>1</v>
      </c>
      <c r="R15" s="2" t="inlineStr">
        <is>
          <t>Blåsippa</t>
        </is>
      </c>
      <c r="S15">
        <f>HYPERLINK("https://klasma.github.io/Logging_0126/artfynd/A 491-2026 artfynd.xlsx", "A 491-2026")</f>
        <v/>
      </c>
      <c r="T15">
        <f>HYPERLINK("https://klasma.github.io/Logging_0126/kartor/A 491-2026 karta.png", "A 491-2026")</f>
        <v/>
      </c>
      <c r="V15">
        <f>HYPERLINK("https://klasma.github.io/Logging_0126/klagomål/A 491-2026 FSC-klagomål.docx", "A 491-2026")</f>
        <v/>
      </c>
      <c r="W15">
        <f>HYPERLINK("https://klasma.github.io/Logging_0126/klagomålsmail/A 491-2026 FSC-klagomål mail.docx", "A 491-2026")</f>
        <v/>
      </c>
      <c r="X15">
        <f>HYPERLINK("https://klasma.github.io/Logging_0126/tillsyn/A 491-2026 tillsynsbegäran.docx", "A 491-2026")</f>
        <v/>
      </c>
      <c r="Y15">
        <f>HYPERLINK("https://klasma.github.io/Logging_0126/tillsynsmail/A 491-2026 tillsynsbegäran mail.docx", "A 491-2026")</f>
        <v/>
      </c>
    </row>
    <row r="16" ht="15" customHeight="1">
      <c r="A16" t="inlineStr">
        <is>
          <t>A 32508-2022</t>
        </is>
      </c>
      <c r="B16" s="1" t="n">
        <v>44782</v>
      </c>
      <c r="C16" s="1" t="n">
        <v>46079</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46079</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46079</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46079</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46079</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46079</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ht="15" customHeight="1">
      <c r="A22" t="inlineStr">
        <is>
          <t>A 27561-2025</t>
        </is>
      </c>
      <c r="B22" s="1" t="n">
        <v>45813.48378472222</v>
      </c>
      <c r="C22" s="1" t="n">
        <v>46079</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row r="23" ht="15" customHeight="1">
      <c r="A23" t="inlineStr">
        <is>
          <t>A 31246-2022</t>
        </is>
      </c>
      <c r="B23" s="1" t="n">
        <v>44771</v>
      </c>
      <c r="C23" s="1" t="n">
        <v>46079</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row r="24">
      <c r="A24" t="inlineStr">
        <is>
          <t>A 35404-2022</t>
        </is>
      </c>
      <c r="B24" s="1" t="n">
        <v>44798</v>
      </c>
      <c r="C24" s="1" t="n">
        <v>46079</v>
      </c>
      <c r="D24" t="inlineStr">
        <is>
          <t>STOCKHOLMS LÄN</t>
        </is>
      </c>
      <c r="E24" t="inlineStr">
        <is>
          <t>HUDDINGE</t>
        </is>
      </c>
      <c r="F24" t="inlineStr">
        <is>
          <t>Kommuner</t>
        </is>
      </c>
      <c r="G24" t="n">
        <v>1.4</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2026-02-26T11:14:43Z</dcterms:created>
  <dcterms:modified xmlns:dcterms="http://purl.org/dc/terms/" xmlns:xsi="http://www.w3.org/2001/XMLSchema-instance" xsi:type="dcterms:W3CDTF">2026-02-26T11:14:43Z</dcterms:modified>
</cp:coreProperties>
</file>