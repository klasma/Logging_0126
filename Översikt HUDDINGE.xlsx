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46322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46322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46322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46322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46322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46322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46322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46322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46322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31632-2026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46223</v>
      </c>
      <c r="E11" s="1" t="n">
        <v>46322</v>
      </c>
      <c r="F11" t="inlineStr">
        <is>
          <t>STOCKHOLMS LÄN</t>
        </is>
      </c>
      <c r="G11" t="inlineStr">
        <is>
          <t>HUDDINGE</t>
        </is>
      </c>
      <c r="H11" t="inlineStr">
        <is>
          <t>Kommuner</t>
        </is>
      </c>
      <c r="I11" t="n">
        <v>0.2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Mindre märgborre
Kopparödla</t>
        </is>
      </c>
      <c r="W11">
        <f>HYPERLINK("https://klasma.github.io/Logging_0126/artfynd/A 31632-2026 artfynd.xlsx", "A 31632-2026")</f>
        <v/>
      </c>
      <c r="X11">
        <f>HYPERLINK("https://klasma.github.io/Logging_0126/kartor/A 31632-2026 karta.png", "A 31632-2026")</f>
        <v/>
      </c>
      <c r="Y11">
        <f>HYPERLINK("https://klasma.github.io/Logging_0126/kartor_geotiff/A 31632-2026 georefererad karta.tif", "A 31632-2026")</f>
        <v/>
      </c>
      <c r="AA11">
        <f>HYPERLINK("https://klasma.github.io/Logging_0126/klagomål/A 31632-2026 FSC-klagomål.docx", "A 31632-2026")</f>
        <v/>
      </c>
      <c r="AB11">
        <f>HYPERLINK("https://klasma.github.io/Logging_0126/klagomålsmail/A 31632-2026 FSC-klagomål mail.docx", "A 31632-2026")</f>
        <v/>
      </c>
      <c r="AC11">
        <f>HYPERLINK("https://klasma.github.io/Logging_0126/tillsyn/A 31632-2026 tillsynsbegäran.docx", "A 31632-2026")</f>
        <v/>
      </c>
      <c r="AD11">
        <f>HYPERLINK("https://klasma.github.io/Logging_0126/tillsynsmail/A 31632-2026 tillsynsbegäran mail.docx", "A 31632-2026")</f>
        <v/>
      </c>
    </row>
    <row r="12" ht="15" customHeight="1">
      <c r="A12" t="inlineStr">
        <is>
          <t>A 17467-2024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46322</v>
      </c>
      <c r="F12" t="inlineStr">
        <is>
          <t>STOCKHOLMS LÄN</t>
        </is>
      </c>
      <c r="G12" t="inlineStr">
        <is>
          <t>HUDDINGE</t>
        </is>
      </c>
      <c r="I12" t="n">
        <v>14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Motaggsvamp
Bronshjon</t>
        </is>
      </c>
      <c r="W12">
        <f>HYPERLINK("https://klasma.github.io/Logging_0126/artfynd/A 17467-2024 artfynd.xlsx", "A 17467-2024")</f>
        <v/>
      </c>
      <c r="X12">
        <f>HYPERLINK("https://klasma.github.io/Logging_0126/kartor/A 17467-2024 karta.png", "A 17467-2024")</f>
        <v/>
      </c>
      <c r="Y12">
        <f>HYPERLINK("https://klasma.github.io/Logging_0126/kartor_geotiff/A 17467-2024 georefererad karta.tif", "A 17467-2024")</f>
        <v/>
      </c>
      <c r="Z12">
        <f>HYPERLINK("https://klasma.github.io/Logging_0126/knärot/A 17467-2024 karta knärot.png", "A 17467-2024")</f>
        <v/>
      </c>
      <c r="AA12">
        <f>HYPERLINK("https://klasma.github.io/Logging_0126/klagomål/A 17467-2024 FSC-klagomål.docx", "A 17467-2024")</f>
        <v/>
      </c>
      <c r="AB12">
        <f>HYPERLINK("https://klasma.github.io/Logging_0126/klagomålsmail/A 17467-2024 FSC-klagomål mail.docx", "A 17467-2024")</f>
        <v/>
      </c>
      <c r="AC12">
        <f>HYPERLINK("https://klasma.github.io/Logging_0126/tillsyn/A 17467-2024 tillsynsbegäran.docx", "A 17467-2024")</f>
        <v/>
      </c>
      <c r="AD12">
        <f>HYPERLINK("https://klasma.github.io/Logging_0126/tillsynsmail/A 17467-2024 tillsynsbegäran mail.docx", "A 17467-2024")</f>
        <v/>
      </c>
    </row>
    <row r="13" ht="15" customHeight="1">
      <c r="A13" t="inlineStr">
        <is>
          <t>A 25210-2026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46175</v>
      </c>
      <c r="E13" s="1" t="n">
        <v>46322</v>
      </c>
      <c r="F13" t="inlineStr">
        <is>
          <t>STOCKHOLMS LÄN</t>
        </is>
      </c>
      <c r="G13" t="inlineStr">
        <is>
          <t>HUDDINGE</t>
        </is>
      </c>
      <c r="I13" t="n">
        <v>0.6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5</v>
      </c>
      <c r="U13" t="n">
        <v>0</v>
      </c>
      <c r="V13" s="2" t="inlineStr">
        <is>
          <t>Blåsippa
Mindre vattensalamander
Vanlig padda</t>
        </is>
      </c>
      <c r="W13">
        <f>HYPERLINK("https://klasma.github.io/Logging_0126/artfynd/A 25210-2026 artfynd.xlsx", "A 25210-2026")</f>
        <v/>
      </c>
      <c r="X13">
        <f>HYPERLINK("https://klasma.github.io/Logging_0126/kartor/A 25210-2026 karta.png", "A 25210-2026")</f>
        <v/>
      </c>
      <c r="Y13">
        <f>HYPERLINK("https://klasma.github.io/Logging_0126/kartor_geotiff/A 25210-2026 georefererad karta.tif", "A 25210-2026")</f>
        <v/>
      </c>
      <c r="AA13">
        <f>HYPERLINK("https://klasma.github.io/Logging_0126/klagomål/A 25210-2026 FSC-klagomål.docx", "A 25210-2026")</f>
        <v/>
      </c>
      <c r="AB13">
        <f>HYPERLINK("https://klasma.github.io/Logging_0126/klagomålsmail/A 25210-2026 FSC-klagomål mail.docx", "A 25210-2026")</f>
        <v/>
      </c>
      <c r="AC13">
        <f>HYPERLINK("https://klasma.github.io/Logging_0126/tillsyn/A 25210-2026 tillsynsbegäran.docx", "A 25210-2026")</f>
        <v/>
      </c>
      <c r="AD13">
        <f>HYPERLINK("https://klasma.github.io/Logging_0126/tillsynsmail/A 25210-2026 tillsynsbegäran mail.docx", "A 25210-2026")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46322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46322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25208-2026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46175</v>
      </c>
      <c r="E16" s="1" t="n">
        <v>46322</v>
      </c>
      <c r="F16" t="inlineStr">
        <is>
          <t>STOCKHOLMS LÄN</t>
        </is>
      </c>
      <c r="G16" t="inlineStr">
        <is>
          <t>HUDDINGE</t>
        </is>
      </c>
      <c r="I16" t="n">
        <v>1.1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Knölvial
Gullviva</t>
        </is>
      </c>
      <c r="W16">
        <f>HYPERLINK("https://klasma.github.io/Logging_0126/artfynd/A 25208-2026 artfynd.xlsx", "A 25208-2026")</f>
        <v/>
      </c>
      <c r="X16">
        <f>HYPERLINK("https://klasma.github.io/Logging_0126/kartor/A 25208-2026 karta.png", "A 25208-2026")</f>
        <v/>
      </c>
      <c r="Y16">
        <f>HYPERLINK("https://klasma.github.io/Logging_0126/kartor_geotiff/A 25208-2026 georefererad karta.tif", "A 25208-2026")</f>
        <v/>
      </c>
      <c r="AA16">
        <f>HYPERLINK("https://klasma.github.io/Logging_0126/klagomål/A 25208-2026 FSC-klagomål.docx", "A 25208-2026")</f>
        <v/>
      </c>
      <c r="AB16">
        <f>HYPERLINK("https://klasma.github.io/Logging_0126/klagomålsmail/A 25208-2026 FSC-klagomål mail.docx", "A 25208-2026")</f>
        <v/>
      </c>
      <c r="AC16">
        <f>HYPERLINK("https://klasma.github.io/Logging_0126/tillsyn/A 25208-2026 tillsynsbegäran.docx", "A 25208-2026")</f>
        <v/>
      </c>
      <c r="AD16">
        <f>HYPERLINK("https://klasma.github.io/Logging_0126/tillsynsmail/A 25208-2026 tillsynsbegäran mail.docx", "A 25208-2026")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46322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46322</v>
      </c>
      <c r="F18" t="inlineStr">
        <is>
          <t>STOCKHOLMS LÄN</t>
        </is>
      </c>
      <c r="G18" t="inlineStr">
        <is>
          <t>HUDDINGE</t>
        </is>
      </c>
      <c r="I18" t="n">
        <v>3.7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Svartvit taggsvamp</t>
        </is>
      </c>
      <c r="W18">
        <f>HYPERLINK("https://klasma.github.io/Logging_0126/artfynd/A 24233-2023 artfynd.xlsx", "A 24233-2023")</f>
        <v/>
      </c>
      <c r="X18">
        <f>HYPERLINK("https://klasma.github.io/Logging_0126/kartor/A 24233-2023 karta.png", "A 24233-2023")</f>
        <v/>
      </c>
      <c r="Y18">
        <f>HYPERLINK("https://klasma.github.io/Logging_0126/kartor_geotiff/A 24233-2023 georefererad karta.tif", "A 24233-2023")</f>
        <v/>
      </c>
      <c r="AA18">
        <f>HYPERLINK("https://klasma.github.io/Logging_0126/klagomål/A 24233-2023 FSC-klagomål.docx", "A 24233-2023")</f>
        <v/>
      </c>
      <c r="AB18">
        <f>HYPERLINK("https://klasma.github.io/Logging_0126/klagomålsmail/A 24233-2023 FSC-klagomål mail.docx", "A 24233-2023")</f>
        <v/>
      </c>
      <c r="AC18">
        <f>HYPERLINK("https://klasma.github.io/Logging_0126/tillsyn/A 24233-2023 tillsynsbegäran.docx", "A 24233-2023")</f>
        <v/>
      </c>
      <c r="AD18">
        <f>HYPERLINK("https://klasma.github.io/Logging_0126/tillsynsmail/A 24233-2023 tillsynsbegäran mail.docx", "A 24233-2023")</f>
        <v/>
      </c>
    </row>
    <row r="19" ht="15" customHeight="1">
      <c r="A19" t="inlineStr">
        <is>
          <t>A 24262-2023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46322</v>
      </c>
      <c r="F19" t="inlineStr">
        <is>
          <t>STOCKHOLMS LÄN</t>
        </is>
      </c>
      <c r="G19" t="inlineStr">
        <is>
          <t>HUDDINGE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HYPERLINK("https://klasma.github.io/Logging_0126/artfynd/A 24262-2023 artfynd.xlsx", "A 24262-2023")</f>
        <v/>
      </c>
      <c r="X19">
        <f>HYPERLINK("https://klasma.github.io/Logging_0126/kartor/A 24262-2023 karta.png", "A 24262-2023")</f>
        <v/>
      </c>
      <c r="Y19">
        <f>HYPERLINK("https://klasma.github.io/Logging_0126/kartor_geotiff/A 24262-2023 georefererad karta.tif", "A 24262-2023")</f>
        <v/>
      </c>
      <c r="AA19">
        <f>HYPERLINK("https://klasma.github.io/Logging_0126/klagomål/A 24262-2023 FSC-klagomål.docx", "A 24262-2023")</f>
        <v/>
      </c>
      <c r="AB19">
        <f>HYPERLINK("https://klasma.github.io/Logging_0126/klagomålsmail/A 24262-2023 FSC-klagomål mail.docx", "A 24262-2023")</f>
        <v/>
      </c>
      <c r="AC19">
        <f>HYPERLINK("https://klasma.github.io/Logging_0126/tillsyn/A 24262-2023 tillsynsbegäran.docx", "A 24262-2023")</f>
        <v/>
      </c>
      <c r="AD19">
        <f>HYPERLINK("https://klasma.github.io/Logging_0126/tillsynsmail/A 24262-2023 tillsynsbegäran mail.docx", "A 24262-2023")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46322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46322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46322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46322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24363-2023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46322</v>
      </c>
      <c r="F24" t="inlineStr">
        <is>
          <t>STOCKHOLMS LÄN</t>
        </is>
      </c>
      <c r="G24" t="inlineStr">
        <is>
          <t>HUDDINGE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HYPERLINK("https://klasma.github.io/Logging_0126/artfynd/A 24363-2023 artfynd.xlsx", "A 24363-2023")</f>
        <v/>
      </c>
      <c r="X24">
        <f>HYPERLINK("https://klasma.github.io/Logging_0126/kartor/A 24363-2023 karta.png", "A 24363-2023")</f>
        <v/>
      </c>
      <c r="Y24">
        <f>HYPERLINK("https://klasma.github.io/Logging_0126/kartor_geotiff/A 24363-2023 georefererad karta.tif", "A 24363-2023")</f>
        <v/>
      </c>
      <c r="AA24">
        <f>HYPERLINK("https://klasma.github.io/Logging_0126/klagomål/A 24363-2023 FSC-klagomål.docx", "A 24363-2023")</f>
        <v/>
      </c>
      <c r="AB24">
        <f>HYPERLINK("https://klasma.github.io/Logging_0126/klagomålsmail/A 24363-2023 FSC-klagomål mail.docx", "A 24363-2023")</f>
        <v/>
      </c>
      <c r="AC24">
        <f>HYPERLINK("https://klasma.github.io/Logging_0126/tillsyn/A 24363-2023 tillsynsbegäran.docx", "A 24363-2023")</f>
        <v/>
      </c>
      <c r="AD24">
        <f>HYPERLINK("https://klasma.github.io/Logging_0126/tillsynsmail/A 24363-2023 tillsynsbegäran mail.docx", "A 24363-2023")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46322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31645-2026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46225</v>
      </c>
      <c r="E26" s="1" t="n">
        <v>46322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31651-2026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46223</v>
      </c>
      <c r="E27" s="1" t="n">
        <v>46322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  <c r="X27">
        <f>HYPERLINK("https://klasma.github.io/Logging_0126/kartor/A 31651-2026 karta.png", "A 31651-2026")</f>
        <v/>
      </c>
      <c r="Y27">
        <f>HYPERLINK("https://klasma.github.io/Logging_0126/kartor_geotiff/A 31651-2026 georefererad karta.tif", "A 31651-2026")</f>
        <v/>
      </c>
      <c r="AA27">
        <f>HYPERLINK("https://klasma.github.io/Logging_0126/klagomål/A 31651-2026 FSC-klagomål.docx", "A 31651-2026")</f>
        <v/>
      </c>
      <c r="AB27">
        <f>HYPERLINK("https://klasma.github.io/Logging_0126/klagomålsmail/A 31651-2026 FSC-klagomål mail.docx", "A 31651-2026")</f>
        <v/>
      </c>
      <c r="AC27">
        <f>HYPERLINK("https://klasma.github.io/Logging_0126/tillsyn/A 31651-2026 tillsynsbegäran.docx", "A 31651-2026")</f>
        <v/>
      </c>
      <c r="AD27">
        <f>HYPERLINK("https://klasma.github.io/Logging_0126/tillsynsmail/A 31651-2026 tillsynsbegäran mail.docx", "A 31651-2026")</f>
        <v/>
      </c>
    </row>
    <row r="28" ht="15" customHeight="1">
      <c r="A28" t="inlineStr">
        <is>
          <t>A 31650-2026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46322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46322</v>
      </c>
      <c r="F29" t="inlineStr">
        <is>
          <t>STOCKHOLMS LÄN</t>
        </is>
      </c>
      <c r="G29" t="inlineStr">
        <is>
          <t>HUDDINGE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35404-2022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44798</v>
      </c>
      <c r="E30" s="1" t="n">
        <v>46322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46322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2026-10-27T03:13:09Z</dcterms:created>
  <dcterms:modified xmlns:dcterms="http://purl.org/dc/terms/" xmlns:xsi="http://www.w3.org/2001/XMLSchema-instance" xsi:type="dcterms:W3CDTF">2026-10-27T03:13:10Z</dcterms:modified>
</cp:coreProperties>
</file>