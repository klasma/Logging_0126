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46277</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46277</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46277</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46277</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46277</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46277</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46277</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46277</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46277</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46277</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46277</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46277</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46277</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46277</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24368-2023</t>
        </is>
      </c>
      <c r="B16" t="inlineStr">
        <is>
          <t>avverkningsanmälan</t>
        </is>
      </c>
      <c r="C16" t="inlineStr">
        <is>
          <t>Föryngringsavverkning</t>
        </is>
      </c>
      <c r="D16" s="1" t="n">
        <v>45076</v>
      </c>
      <c r="E16" s="1" t="n">
        <v>46277</v>
      </c>
      <c r="F16" t="inlineStr">
        <is>
          <t>STOCKHOLMS LÄN</t>
        </is>
      </c>
      <c r="G16" t="inlineStr">
        <is>
          <t>HUDDINGE</t>
        </is>
      </c>
      <c r="I16" t="n">
        <v>3</v>
      </c>
      <c r="J16" t="n">
        <v>1</v>
      </c>
      <c r="K16" t="n">
        <v>1</v>
      </c>
      <c r="L16" t="n">
        <v>1</v>
      </c>
      <c r="M16" t="n">
        <v>0</v>
      </c>
      <c r="N16" t="n">
        <v>0</v>
      </c>
      <c r="O16" t="n">
        <v>0</v>
      </c>
      <c r="P16" t="n">
        <v>0</v>
      </c>
      <c r="Q16" t="n">
        <v>1</v>
      </c>
      <c r="R16" t="n">
        <v>0</v>
      </c>
      <c r="S16" t="n">
        <v>2</v>
      </c>
      <c r="T16" t="n">
        <v>2</v>
      </c>
      <c r="U16" t="n">
        <v>2</v>
      </c>
      <c r="V16" s="2" t="inlineStr">
        <is>
          <t>Motaggsvamp
Plattlummer</t>
        </is>
      </c>
      <c r="W16">
        <f>HYPERLINK("https://klasma.github.io/Logging_0126/artfynd/A 24368-2023 artfynd.xlsx", "A 24368-2023")</f>
        <v/>
      </c>
      <c r="X16">
        <f>HYPERLINK("https://klasma.github.io/Logging_0126/kartor/A 24368-2023 karta.png", "A 24368-2023")</f>
        <v/>
      </c>
      <c r="Y16">
        <f>HYPERLINK("https://klasma.github.io/Logging_0126/kartor_geotiff/A 24368-2023 georefererad karta.tif", "A 24368-2023")</f>
        <v/>
      </c>
      <c r="AA16">
        <f>HYPERLINK("https://klasma.github.io/Logging_0126/klagomål/A 24368-2023 FSC-klagomål.docx", "A 24368-2023")</f>
        <v/>
      </c>
      <c r="AB16">
        <f>HYPERLINK("https://klasma.github.io/Logging_0126/klagomålsmail/A 24368-2023 FSC-klagomål mail.docx", "A 24368-2023")</f>
        <v/>
      </c>
      <c r="AC16">
        <f>HYPERLINK("https://klasma.github.io/Logging_0126/tillsyn/A 24368-2023 tillsynsbegäran.docx", "A 24368-2023")</f>
        <v/>
      </c>
      <c r="AD16">
        <f>HYPERLINK("https://klasma.github.io/Logging_0126/tillsynsmail/A 24368-2023 tillsynsbegäran mail.docx", "A 24368-2023")</f>
        <v/>
      </c>
    </row>
    <row r="17" ht="15" customHeight="1">
      <c r="A17" t="inlineStr">
        <is>
          <t>A 31569-2026</t>
        </is>
      </c>
      <c r="B17" t="inlineStr">
        <is>
          <t>avverkningsanmälan</t>
        </is>
      </c>
      <c r="C17" t="inlineStr">
        <is>
          <t>Avverkning för annat ändamål</t>
        </is>
      </c>
      <c r="D17" s="1" t="n">
        <v>46223</v>
      </c>
      <c r="E17" s="1" t="n">
        <v>46277</v>
      </c>
      <c r="F17" t="inlineStr">
        <is>
          <t>STOCKHOLMS LÄN</t>
        </is>
      </c>
      <c r="G17" t="inlineStr">
        <is>
          <t>HUDDINGE</t>
        </is>
      </c>
      <c r="H17" t="inlineStr">
        <is>
          <t>Kommuner</t>
        </is>
      </c>
      <c r="I17" t="n">
        <v>0.4</v>
      </c>
      <c r="J17" t="n">
        <v>0</v>
      </c>
      <c r="K17" t="n">
        <v>0</v>
      </c>
      <c r="L17" t="n">
        <v>0</v>
      </c>
      <c r="M17" t="n">
        <v>2</v>
      </c>
      <c r="N17" t="n">
        <v>0</v>
      </c>
      <c r="O17" t="n">
        <v>0</v>
      </c>
      <c r="P17" t="n">
        <v>0</v>
      </c>
      <c r="Q17" t="n">
        <v>2</v>
      </c>
      <c r="R17" t="n">
        <v>2</v>
      </c>
      <c r="S17" t="n">
        <v>2</v>
      </c>
      <c r="T17" t="n">
        <v>4</v>
      </c>
      <c r="U17" t="n">
        <v>0</v>
      </c>
      <c r="V17" s="2" t="inlineStr">
        <is>
          <t>Mindre blåvinge
Sexfläckig bastardsvärmare</t>
        </is>
      </c>
      <c r="W17">
        <f>HYPERLINK("https://klasma.github.io/Logging_0126/artfynd/A 31569-2026 artfynd.xlsx", "A 31569-2026")</f>
        <v/>
      </c>
      <c r="X17">
        <f>HYPERLINK("https://klasma.github.io/Logging_0126/kartor/A 31569-2026 karta.png", "A 31569-2026")</f>
        <v/>
      </c>
      <c r="Y17">
        <f>HYPERLINK("https://klasma.github.io/Logging_0126/kartor_geotiff/A 31569-2026 georefererad karta.tif", "A 31569-2026")</f>
        <v/>
      </c>
      <c r="AA17">
        <f>HYPERLINK("https://klasma.github.io/Logging_0126/klagomål/A 31569-2026 FSC-klagomål.docx", "A 31569-2026")</f>
        <v/>
      </c>
      <c r="AB17">
        <f>HYPERLINK("https://klasma.github.io/Logging_0126/klagomålsmail/A 31569-2026 FSC-klagomål mail.docx", "A 31569-2026")</f>
        <v/>
      </c>
      <c r="AC17">
        <f>HYPERLINK("https://klasma.github.io/Logging_0126/tillsyn/A 31569-2026 tillsynsbegäran.docx", "A 31569-2026")</f>
        <v/>
      </c>
      <c r="AD17">
        <f>HYPERLINK("https://klasma.github.io/Logging_0126/tillsynsmail/A 31569-2026 tillsynsbegäran mail.docx", "A 31569-2026")</f>
        <v/>
      </c>
    </row>
    <row r="18" ht="15" customHeight="1">
      <c r="A18" t="inlineStr">
        <is>
          <t>A 24363-2023</t>
        </is>
      </c>
      <c r="B18" t="inlineStr">
        <is>
          <t>avverkningsanmälan</t>
        </is>
      </c>
      <c r="C18" t="inlineStr">
        <is>
          <t>Föryngringsavverkning</t>
        </is>
      </c>
      <c r="D18" s="1" t="n">
        <v>45076</v>
      </c>
      <c r="E18" s="1" t="n">
        <v>46277</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46277</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24262-2023</t>
        </is>
      </c>
      <c r="B20" t="inlineStr">
        <is>
          <t>avverkningsanmälan</t>
        </is>
      </c>
      <c r="C20" t="inlineStr">
        <is>
          <t>Föryngringsavverkning</t>
        </is>
      </c>
      <c r="D20" s="1" t="n">
        <v>45076</v>
      </c>
      <c r="E20" s="1" t="n">
        <v>46277</v>
      </c>
      <c r="F20" t="inlineStr">
        <is>
          <t>STOCKHOLMS LÄN</t>
        </is>
      </c>
      <c r="G20" t="inlineStr">
        <is>
          <t>HUDDINGE</t>
        </is>
      </c>
      <c r="I20" t="n">
        <v>2.5</v>
      </c>
      <c r="J20" t="n">
        <v>0</v>
      </c>
      <c r="K20" t="n">
        <v>1</v>
      </c>
      <c r="L20" t="n">
        <v>0</v>
      </c>
      <c r="M20" t="n">
        <v>0</v>
      </c>
      <c r="N20" t="n">
        <v>0</v>
      </c>
      <c r="O20" t="n">
        <v>0</v>
      </c>
      <c r="P20" t="n">
        <v>0</v>
      </c>
      <c r="Q20" t="n">
        <v>0</v>
      </c>
      <c r="R20" t="n">
        <v>0</v>
      </c>
      <c r="S20" t="n">
        <v>1</v>
      </c>
      <c r="T20" t="n">
        <v>1</v>
      </c>
      <c r="U20" t="n">
        <v>1</v>
      </c>
      <c r="V20" s="2" t="inlineStr">
        <is>
          <t>Tibast</t>
        </is>
      </c>
      <c r="W20">
        <f>HYPERLINK("https://klasma.github.io/Logging_0126/artfynd/A 24262-2023 artfynd.xlsx", "A 24262-2023")</f>
        <v/>
      </c>
      <c r="X20">
        <f>HYPERLINK("https://klasma.github.io/Logging_0126/kartor/A 24262-2023 karta.png", "A 24262-2023")</f>
        <v/>
      </c>
      <c r="Y20">
        <f>HYPERLINK("https://klasma.github.io/Logging_0126/kartor_geotiff/A 24262-2023 georefererad karta.tif", "A 24262-2023")</f>
        <v/>
      </c>
      <c r="AA20">
        <f>HYPERLINK("https://klasma.github.io/Logging_0126/klagomål/A 24262-2023 FSC-klagomål.docx", "A 24262-2023")</f>
        <v/>
      </c>
      <c r="AB20">
        <f>HYPERLINK("https://klasma.github.io/Logging_0126/klagomålsmail/A 24262-2023 FSC-klagomål mail.docx", "A 24262-2023")</f>
        <v/>
      </c>
      <c r="AC20">
        <f>HYPERLINK("https://klasma.github.io/Logging_0126/tillsyn/A 24262-2023 tillsynsbegäran.docx", "A 24262-2023")</f>
        <v/>
      </c>
      <c r="AD20">
        <f>HYPERLINK("https://klasma.github.io/Logging_0126/tillsynsmail/A 24262-2023 tillsynsbegäran mail.docx", "A 24262-2023")</f>
        <v/>
      </c>
    </row>
    <row r="21" ht="15" customHeight="1">
      <c r="A21" t="inlineStr">
        <is>
          <t>A 31514-2026</t>
        </is>
      </c>
      <c r="B21" t="inlineStr">
        <is>
          <t>avverkningsanmälan</t>
        </is>
      </c>
      <c r="C21" t="inlineStr">
        <is>
          <t>Avverkning för annat ändamål</t>
        </is>
      </c>
      <c r="D21" s="1" t="n">
        <v>46223</v>
      </c>
      <c r="E21" s="1" t="n">
        <v>46277</v>
      </c>
      <c r="F21" t="inlineStr">
        <is>
          <t>STOCKHOLMS LÄN</t>
        </is>
      </c>
      <c r="G21" t="inlineStr">
        <is>
          <t>HUDDINGE</t>
        </is>
      </c>
      <c r="H21" t="inlineStr">
        <is>
          <t>Kommuner</t>
        </is>
      </c>
      <c r="I21" t="n">
        <v>1</v>
      </c>
      <c r="J21" t="n">
        <v>0</v>
      </c>
      <c r="K21" t="n">
        <v>1</v>
      </c>
      <c r="L21" t="n">
        <v>0</v>
      </c>
      <c r="M21" t="n">
        <v>0</v>
      </c>
      <c r="N21" t="n">
        <v>0</v>
      </c>
      <c r="O21" t="n">
        <v>0</v>
      </c>
      <c r="P21" t="n">
        <v>0</v>
      </c>
      <c r="Q21" t="n">
        <v>0</v>
      </c>
      <c r="R21" t="n">
        <v>0</v>
      </c>
      <c r="S21" t="n">
        <v>1</v>
      </c>
      <c r="T21" t="n">
        <v>2</v>
      </c>
      <c r="U21" t="n">
        <v>0</v>
      </c>
      <c r="V21" s="2" t="inlineStr">
        <is>
          <t>Tibast</t>
        </is>
      </c>
      <c r="W21">
        <f>HYPERLINK("https://klasma.github.io/Logging_0126/artfynd/A 31514-2026 artfynd.xlsx", "A 31514-2026")</f>
        <v/>
      </c>
      <c r="X21">
        <f>HYPERLINK("https://klasma.github.io/Logging_0126/kartor/A 31514-2026 karta.png", "A 31514-2026")</f>
        <v/>
      </c>
      <c r="Y21">
        <f>HYPERLINK("https://klasma.github.io/Logging_0126/kartor_geotiff/A 31514-2026 georefererad karta.tif", "A 31514-2026")</f>
        <v/>
      </c>
      <c r="AA21">
        <f>HYPERLINK("https://klasma.github.io/Logging_0126/klagomål/A 31514-2026 FSC-klagomål.docx", "A 31514-2026")</f>
        <v/>
      </c>
      <c r="AB21">
        <f>HYPERLINK("https://klasma.github.io/Logging_0126/klagomålsmail/A 31514-2026 FSC-klagomål mail.docx", "A 31514-2026")</f>
        <v/>
      </c>
      <c r="AC21">
        <f>HYPERLINK("https://klasma.github.io/Logging_0126/tillsyn/A 31514-2026 tillsynsbegäran.docx", "A 31514-2026")</f>
        <v/>
      </c>
      <c r="AD21">
        <f>HYPERLINK("https://klasma.github.io/Logging_0126/tillsynsmail/A 31514-2026 tillsynsbegäran mail.docx", "A 31514-2026")</f>
        <v/>
      </c>
    </row>
    <row r="22" ht="15" customHeight="1">
      <c r="A22" t="inlineStr">
        <is>
          <t>A 31568-2026</t>
        </is>
      </c>
      <c r="B22" t="inlineStr">
        <is>
          <t>avverkningsanmälan</t>
        </is>
      </c>
      <c r="C22" t="inlineStr">
        <is>
          <t>Avverkning för annat ändamål</t>
        </is>
      </c>
      <c r="D22" s="1" t="n">
        <v>46223</v>
      </c>
      <c r="E22" s="1" t="n">
        <v>46277</v>
      </c>
      <c r="F22" t="inlineStr">
        <is>
          <t>STOCKHOLMS LÄN</t>
        </is>
      </c>
      <c r="G22" t="inlineStr">
        <is>
          <t>HUDDINGE</t>
        </is>
      </c>
      <c r="H22" t="inlineStr">
        <is>
          <t>Kommuner</t>
        </is>
      </c>
      <c r="I22" t="n">
        <v>0.2</v>
      </c>
      <c r="J22" t="n">
        <v>1</v>
      </c>
      <c r="K22" t="n">
        <v>0</v>
      </c>
      <c r="L22" t="n">
        <v>0</v>
      </c>
      <c r="M22" t="n">
        <v>0</v>
      </c>
      <c r="N22" t="n">
        <v>0</v>
      </c>
      <c r="O22" t="n">
        <v>0</v>
      </c>
      <c r="P22" t="n">
        <v>0</v>
      </c>
      <c r="Q22" t="n">
        <v>0</v>
      </c>
      <c r="R22" t="n">
        <v>0</v>
      </c>
      <c r="S22" t="n">
        <v>1</v>
      </c>
      <c r="T22" t="n">
        <v>1</v>
      </c>
      <c r="U22" t="n">
        <v>0</v>
      </c>
      <c r="V22" s="2" t="inlineStr">
        <is>
          <t>Skogsödla</t>
        </is>
      </c>
      <c r="W22">
        <f>HYPERLINK("https://klasma.github.io/Logging_0126/artfynd/A 31568-2026 artfynd.xlsx", "A 31568-2026")</f>
        <v/>
      </c>
      <c r="X22">
        <f>HYPERLINK("https://klasma.github.io/Logging_0126/kartor/A 31568-2026 karta.png", "A 31568-2026")</f>
        <v/>
      </c>
      <c r="Y22">
        <f>HYPERLINK("https://klasma.github.io/Logging_0126/kartor_geotiff/A 31568-2026 georefererad karta.tif", "A 31568-2026")</f>
        <v/>
      </c>
      <c r="AA22">
        <f>HYPERLINK("https://klasma.github.io/Logging_0126/klagomål/A 31568-2026 FSC-klagomål.docx", "A 31568-2026")</f>
        <v/>
      </c>
      <c r="AB22">
        <f>HYPERLINK("https://klasma.github.io/Logging_0126/klagomålsmail/A 31568-2026 FSC-klagomål mail.docx", "A 31568-2026")</f>
        <v/>
      </c>
      <c r="AC22">
        <f>HYPERLINK("https://klasma.github.io/Logging_0126/tillsyn/A 31568-2026 tillsynsbegäran.docx", "A 31568-2026")</f>
        <v/>
      </c>
      <c r="AD22">
        <f>HYPERLINK("https://klasma.github.io/Logging_0126/tillsynsmail/A 31568-2026 tillsynsbegäran mail.docx", "A 31568-2026")</f>
        <v/>
      </c>
    </row>
    <row r="23" ht="15" customHeight="1">
      <c r="A23" t="inlineStr">
        <is>
          <t>A 31633-2026</t>
        </is>
      </c>
      <c r="B23" t="inlineStr">
        <is>
          <t>avverkningsanmälan</t>
        </is>
      </c>
      <c r="C23" t="inlineStr">
        <is>
          <t>Avverkning för annat ändamål</t>
        </is>
      </c>
      <c r="D23" s="1" t="n">
        <v>46223</v>
      </c>
      <c r="E23" s="1" t="n">
        <v>46277</v>
      </c>
      <c r="F23" t="inlineStr">
        <is>
          <t>STOCKHOLMS LÄN</t>
        </is>
      </c>
      <c r="G23" t="inlineStr">
        <is>
          <t>HUDDINGE</t>
        </is>
      </c>
      <c r="H23" t="inlineStr">
        <is>
          <t>Kommuner</t>
        </is>
      </c>
      <c r="I23" t="n">
        <v>2.5</v>
      </c>
      <c r="J23" t="n">
        <v>1</v>
      </c>
      <c r="K23" t="n">
        <v>0</v>
      </c>
      <c r="L23" t="n">
        <v>0</v>
      </c>
      <c r="M23" t="n">
        <v>0</v>
      </c>
      <c r="N23" t="n">
        <v>0</v>
      </c>
      <c r="O23" t="n">
        <v>0</v>
      </c>
      <c r="P23" t="n">
        <v>0</v>
      </c>
      <c r="Q23" t="n">
        <v>0</v>
      </c>
      <c r="R23" t="n">
        <v>0</v>
      </c>
      <c r="S23" t="n">
        <v>1</v>
      </c>
      <c r="T23" t="n">
        <v>2</v>
      </c>
      <c r="U23" t="n">
        <v>0</v>
      </c>
      <c r="V23" s="2" t="inlineStr">
        <is>
          <t>Kopparödla</t>
        </is>
      </c>
      <c r="W23">
        <f>HYPERLINK("https://klasma.github.io/Logging_0126/artfynd/A 31633-2026 artfynd.xlsx", "A 31633-2026")</f>
        <v/>
      </c>
      <c r="X23">
        <f>HYPERLINK("https://klasma.github.io/Logging_0126/kartor/A 31633-2026 karta.png", "A 31633-2026")</f>
        <v/>
      </c>
      <c r="Y23">
        <f>HYPERLINK("https://klasma.github.io/Logging_0126/kartor_geotiff/A 31633-2026 georefererad karta.tif", "A 31633-2026")</f>
        <v/>
      </c>
      <c r="AA23">
        <f>HYPERLINK("https://klasma.github.io/Logging_0126/klagomål/A 31633-2026 FSC-klagomål.docx", "A 31633-2026")</f>
        <v/>
      </c>
      <c r="AB23">
        <f>HYPERLINK("https://klasma.github.io/Logging_0126/klagomålsmail/A 31633-2026 FSC-klagomål mail.docx", "A 31633-2026")</f>
        <v/>
      </c>
      <c r="AC23">
        <f>HYPERLINK("https://klasma.github.io/Logging_0126/tillsyn/A 31633-2026 tillsynsbegäran.docx", "A 31633-2026")</f>
        <v/>
      </c>
      <c r="AD23">
        <f>HYPERLINK("https://klasma.github.io/Logging_0126/tillsynsmail/A 31633-2026 tillsynsbegäran mail.docx", "A 31633-2026")</f>
        <v/>
      </c>
    </row>
    <row r="24" ht="15" customHeight="1">
      <c r="A24" t="inlineStr">
        <is>
          <t>A 31795-2026</t>
        </is>
      </c>
      <c r="B24" t="inlineStr">
        <is>
          <t>avverkningsanmälan</t>
        </is>
      </c>
      <c r="C24" t="inlineStr">
        <is>
          <t>Avverkning för annat ändamål</t>
        </is>
      </c>
      <c r="D24" s="1" t="n">
        <v>46230</v>
      </c>
      <c r="E24" s="1" t="n">
        <v>46277</v>
      </c>
      <c r="F24" t="inlineStr">
        <is>
          <t>STOCKHOLMS LÄN</t>
        </is>
      </c>
      <c r="G24" t="inlineStr">
        <is>
          <t>HUDDINGE</t>
        </is>
      </c>
      <c r="H24" t="inlineStr">
        <is>
          <t>Kommuner</t>
        </is>
      </c>
      <c r="I24" t="n">
        <v>2.1</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HYPERLINK("https://klasma.github.io/Logging_0126/artfynd/A 31795-2026 artfynd.xlsx", "A 31795-2026")</f>
        <v/>
      </c>
      <c r="X24">
        <f>HYPERLINK("https://klasma.github.io/Logging_0126/kartor/A 31795-2026 karta.png", "A 31795-2026")</f>
        <v/>
      </c>
      <c r="Y24">
        <f>HYPERLINK("https://klasma.github.io/Logging_0126/kartor_geotiff/A 31795-2026 georefererad karta.tif", "A 31795-2026")</f>
        <v/>
      </c>
      <c r="AA24">
        <f>HYPERLINK("https://klasma.github.io/Logging_0126/klagomål/A 31795-2026 FSC-klagomål.docx", "A 31795-2026")</f>
        <v/>
      </c>
      <c r="AB24">
        <f>HYPERLINK("https://klasma.github.io/Logging_0126/klagomålsmail/A 31795-2026 FSC-klagomål mail.docx", "A 31795-2026")</f>
        <v/>
      </c>
      <c r="AC24">
        <f>HYPERLINK("https://klasma.github.io/Logging_0126/tillsyn/A 31795-2026 tillsynsbegäran.docx", "A 31795-2026")</f>
        <v/>
      </c>
      <c r="AD24">
        <f>HYPERLINK("https://klasma.github.io/Logging_0126/tillsynsmail/A 31795-2026 tillsynsbegäran mail.docx", "A 31795-2026")</f>
        <v/>
      </c>
    </row>
    <row r="25" ht="15" customHeight="1">
      <c r="A25" t="inlineStr">
        <is>
          <t>A 24233-2023</t>
        </is>
      </c>
      <c r="B25" t="inlineStr">
        <is>
          <t>avverkningsanmälan</t>
        </is>
      </c>
      <c r="C25" t="inlineStr">
        <is>
          <t>Föryngringsavverkning</t>
        </is>
      </c>
      <c r="D25" s="1" t="n">
        <v>45076</v>
      </c>
      <c r="E25" s="1" t="n">
        <v>46277</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46277</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46277</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46277</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46277</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46277</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46277</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46277</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2026-09-12T02:08:42Z</dcterms:created>
  <dcterms:modified xmlns:dcterms="http://purl.org/dc/terms/" xmlns:xsi="http://www.w3.org/2001/XMLSchema-instance" xsi:type="dcterms:W3CDTF">2026-09-12T02:08:42Z</dcterms:modified>
</cp:coreProperties>
</file>