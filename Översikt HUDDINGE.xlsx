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46232</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46232</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46232</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46232</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46232</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46232</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46232</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46232</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46232</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46232</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17467-2024</t>
        </is>
      </c>
      <c r="B12" t="inlineStr">
        <is>
          <t>avverkningsanmälan</t>
        </is>
      </c>
      <c r="C12" t="inlineStr">
        <is>
          <t>Föryngringsavverkning</t>
        </is>
      </c>
      <c r="D12" s="1" t="n">
        <v>45415</v>
      </c>
      <c r="E12" s="1" t="n">
        <v>46232</v>
      </c>
      <c r="F12" t="inlineStr">
        <is>
          <t>STOCKHOLMS LÄN</t>
        </is>
      </c>
      <c r="G12" t="inlineStr">
        <is>
          <t>HUDDINGE</t>
        </is>
      </c>
      <c r="I12" t="n">
        <v>14</v>
      </c>
      <c r="J12" t="n">
        <v>1</v>
      </c>
      <c r="K12" t="n">
        <v>1</v>
      </c>
      <c r="L12" t="n">
        <v>1</v>
      </c>
      <c r="M12" t="n">
        <v>1</v>
      </c>
      <c r="N12" t="n">
        <v>0</v>
      </c>
      <c r="O12" t="n">
        <v>0</v>
      </c>
      <c r="P12" t="n">
        <v>0</v>
      </c>
      <c r="Q12" t="n">
        <v>2</v>
      </c>
      <c r="R12" t="n">
        <v>1</v>
      </c>
      <c r="S12" t="n">
        <v>3</v>
      </c>
      <c r="T12" t="n">
        <v>3</v>
      </c>
      <c r="U12" t="n">
        <v>3</v>
      </c>
      <c r="V12" s="2" t="inlineStr">
        <is>
          <t>Knärot
Motaggsvamp
Bronshjon</t>
        </is>
      </c>
      <c r="W12">
        <f>HYPERLINK("https://klasma.github.io/Logging_0126/artfynd/A 17467-2024 artfynd.xlsx", "A 17467-2024")</f>
        <v/>
      </c>
      <c r="X12">
        <f>HYPERLINK("https://klasma.github.io/Logging_0126/kartor/A 17467-2024 karta.png", "A 17467-2024")</f>
        <v/>
      </c>
      <c r="Y12">
        <f>HYPERLINK("https://klasma.github.io/Logging_0126/kartor_geotiff/A 17467-2024 georefererad karta.tif", "A 17467-2024")</f>
        <v/>
      </c>
      <c r="Z12">
        <f>HYPERLINK("https://klasma.github.io/Logging_0126/knärot/A 17467-2024 karta knärot.png", "A 17467-2024")</f>
        <v/>
      </c>
      <c r="AA12">
        <f>HYPERLINK("https://klasma.github.io/Logging_0126/klagomål/A 17467-2024 FSC-klagomål.docx", "A 17467-2024")</f>
        <v/>
      </c>
      <c r="AB12">
        <f>HYPERLINK("https://klasma.github.io/Logging_0126/klagomålsmail/A 17467-2024 FSC-klagomål mail.docx", "A 17467-2024")</f>
        <v/>
      </c>
      <c r="AC12">
        <f>HYPERLINK("https://klasma.github.io/Logging_0126/tillsyn/A 17467-2024 tillsynsbegäran.docx", "A 17467-2024")</f>
        <v/>
      </c>
      <c r="AD12">
        <f>HYPERLINK("https://klasma.github.io/Logging_0126/tillsynsmail/A 17467-2024 tillsynsbegäran mail.docx", "A 17467-2024")</f>
        <v/>
      </c>
    </row>
    <row r="13" ht="15" customHeight="1">
      <c r="A13" t="inlineStr">
        <is>
          <t>A 25210-2026</t>
        </is>
      </c>
      <c r="B13" t="inlineStr">
        <is>
          <t>avverkningsanmälan</t>
        </is>
      </c>
      <c r="C13" t="inlineStr">
        <is>
          <t>Föryngringsavverkning</t>
        </is>
      </c>
      <c r="D13" s="1" t="n">
        <v>46175</v>
      </c>
      <c r="E13" s="1" t="n">
        <v>46232</v>
      </c>
      <c r="F13" t="inlineStr">
        <is>
          <t>STOCKHOLMS LÄN</t>
        </is>
      </c>
      <c r="G13" t="inlineStr">
        <is>
          <t>HUDDINGE</t>
        </is>
      </c>
      <c r="I13" t="n">
        <v>0.6</v>
      </c>
      <c r="J13" t="n">
        <v>3</v>
      </c>
      <c r="K13" t="n">
        <v>0</v>
      </c>
      <c r="L13" t="n">
        <v>0</v>
      </c>
      <c r="M13" t="n">
        <v>0</v>
      </c>
      <c r="N13" t="n">
        <v>0</v>
      </c>
      <c r="O13" t="n">
        <v>0</v>
      </c>
      <c r="P13" t="n">
        <v>0</v>
      </c>
      <c r="Q13" t="n">
        <v>0</v>
      </c>
      <c r="R13" t="n">
        <v>0</v>
      </c>
      <c r="S13" t="n">
        <v>3</v>
      </c>
      <c r="T13" t="n">
        <v>5</v>
      </c>
      <c r="U13" t="n">
        <v>0</v>
      </c>
      <c r="V13" s="2" t="inlineStr">
        <is>
          <t>Blåsippa
Mindre vattensalamander
Vanlig padda</t>
        </is>
      </c>
      <c r="W13">
        <f>HYPERLINK("https://klasma.github.io/Logging_0126/artfynd/A 25210-2026 artfynd.xlsx", "A 25210-2026")</f>
        <v/>
      </c>
      <c r="X13">
        <f>HYPERLINK("https://klasma.github.io/Logging_0126/kartor/A 25210-2026 karta.png", "A 25210-2026")</f>
        <v/>
      </c>
      <c r="Y13">
        <f>HYPERLINK("https://klasma.github.io/Logging_0126/kartor_geotiff/A 25210-2026 georefererad karta.tif", "A 25210-2026")</f>
        <v/>
      </c>
      <c r="AA13">
        <f>HYPERLINK("https://klasma.github.io/Logging_0126/klagomål/A 25210-2026 FSC-klagomål.docx", "A 25210-2026")</f>
        <v/>
      </c>
      <c r="AB13">
        <f>HYPERLINK("https://klasma.github.io/Logging_0126/klagomålsmail/A 25210-2026 FSC-klagomål mail.docx", "A 25210-2026")</f>
        <v/>
      </c>
      <c r="AC13">
        <f>HYPERLINK("https://klasma.github.io/Logging_0126/tillsyn/A 25210-2026 tillsynsbegäran.docx", "A 25210-2026")</f>
        <v/>
      </c>
      <c r="AD13">
        <f>HYPERLINK("https://klasma.github.io/Logging_0126/tillsynsmail/A 25210-2026 tillsynsbegäran mail.docx", "A 25210-2026")</f>
        <v/>
      </c>
    </row>
    <row r="14" ht="15" customHeight="1">
      <c r="A14" t="inlineStr">
        <is>
          <t>A 31632-2026</t>
        </is>
      </c>
      <c r="B14" t="inlineStr">
        <is>
          <t>avverkningsanmälan</t>
        </is>
      </c>
      <c r="C14" t="inlineStr">
        <is>
          <t>Avverkning för annat ändamål</t>
        </is>
      </c>
      <c r="D14" s="1" t="n">
        <v>46223</v>
      </c>
      <c r="E14" s="1" t="n">
        <v>46232</v>
      </c>
      <c r="F14" t="inlineStr">
        <is>
          <t>STOCKHOLMS LÄN</t>
        </is>
      </c>
      <c r="G14" t="inlineStr">
        <is>
          <t>HUDDINGE</t>
        </is>
      </c>
      <c r="H14" t="inlineStr">
        <is>
          <t>Kommuner</t>
        </is>
      </c>
      <c r="I14" t="n">
        <v>0.2</v>
      </c>
      <c r="J14" t="n">
        <v>1</v>
      </c>
      <c r="K14" t="n">
        <v>1</v>
      </c>
      <c r="L14" t="n">
        <v>1</v>
      </c>
      <c r="M14" t="n">
        <v>0</v>
      </c>
      <c r="N14" t="n">
        <v>0</v>
      </c>
      <c r="O14" t="n">
        <v>0</v>
      </c>
      <c r="P14" t="n">
        <v>0</v>
      </c>
      <c r="Q14" t="n">
        <v>1</v>
      </c>
      <c r="R14" t="n">
        <v>0</v>
      </c>
      <c r="S14" t="n">
        <v>3</v>
      </c>
      <c r="T14" t="n">
        <v>3</v>
      </c>
      <c r="U14" t="n">
        <v>0</v>
      </c>
      <c r="V14" s="2" t="inlineStr">
        <is>
          <t>Tallticka
Mindre märgborre
Kopparödla</t>
        </is>
      </c>
      <c r="W14">
        <f>HYPERLINK("https://klasma.github.io/Logging_0126/artfynd/A 31632-2026 artfynd.xlsx", "A 31632-2026")</f>
        <v/>
      </c>
      <c r="X14">
        <f>HYPERLINK("https://klasma.github.io/Logging_0126/kartor/A 31632-2026 karta.png", "A 31632-2026")</f>
        <v/>
      </c>
      <c r="Y14">
        <f>HYPERLINK("https://klasma.github.io/Logging_0126/kartor_geotiff/A 31632-2026 georefererad karta.tif", "A 31632-2026")</f>
        <v/>
      </c>
      <c r="AA14">
        <f>HYPERLINK("https://klasma.github.io/Logging_0126/klagomål/A 31632-2026 FSC-klagomål.docx", "A 31632-2026")</f>
        <v/>
      </c>
      <c r="AB14">
        <f>HYPERLINK("https://klasma.github.io/Logging_0126/klagomålsmail/A 31632-2026 FSC-klagomål mail.docx", "A 31632-2026")</f>
        <v/>
      </c>
      <c r="AC14">
        <f>HYPERLINK("https://klasma.github.io/Logging_0126/tillsyn/A 31632-2026 tillsynsbegäran.docx", "A 31632-2026")</f>
        <v/>
      </c>
      <c r="AD14">
        <f>HYPERLINK("https://klasma.github.io/Logging_0126/tillsynsmail/A 31632-2026 tillsynsbegäran mail.docx", "A 31632-2026")</f>
        <v/>
      </c>
    </row>
    <row r="15" ht="15" customHeight="1">
      <c r="A15" t="inlineStr">
        <is>
          <t>A 24368-2023</t>
        </is>
      </c>
      <c r="B15" t="inlineStr">
        <is>
          <t>avverkningsanmälan</t>
        </is>
      </c>
      <c r="C15" t="inlineStr">
        <is>
          <t>Föryngringsavverkning</t>
        </is>
      </c>
      <c r="D15" s="1" t="n">
        <v>45076</v>
      </c>
      <c r="E15" s="1" t="n">
        <v>46232</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46232</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46232</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24257-2023</t>
        </is>
      </c>
      <c r="B18" t="inlineStr">
        <is>
          <t>avverkningsanmälan</t>
        </is>
      </c>
      <c r="C18" t="inlineStr">
        <is>
          <t>Föryngringsavverkning</t>
        </is>
      </c>
      <c r="D18" s="1" t="n">
        <v>45076</v>
      </c>
      <c r="E18" s="1" t="n">
        <v>46232</v>
      </c>
      <c r="F18" t="inlineStr">
        <is>
          <t>STOCKHOLMS LÄN</t>
        </is>
      </c>
      <c r="G18" t="inlineStr">
        <is>
          <t>HUDDINGE</t>
        </is>
      </c>
      <c r="I18" t="n">
        <v>1</v>
      </c>
      <c r="J18" t="n">
        <v>0</v>
      </c>
      <c r="K18" t="n">
        <v>0</v>
      </c>
      <c r="L18" t="n">
        <v>1</v>
      </c>
      <c r="M18" t="n">
        <v>0</v>
      </c>
      <c r="N18" t="n">
        <v>0</v>
      </c>
      <c r="O18" t="n">
        <v>0</v>
      </c>
      <c r="P18" t="n">
        <v>0</v>
      </c>
      <c r="Q18" t="n">
        <v>1</v>
      </c>
      <c r="R18" t="n">
        <v>0</v>
      </c>
      <c r="S18" t="n">
        <v>1</v>
      </c>
      <c r="T18" t="n">
        <v>1</v>
      </c>
      <c r="U18" t="n">
        <v>1</v>
      </c>
      <c r="V18" s="2" t="inlineStr">
        <is>
          <t>Kolflarnlav</t>
        </is>
      </c>
      <c r="W18">
        <f>HYPERLINK("https://klasma.github.io/Logging_0126/artfynd/A 24257-2023 artfynd.xlsx", "A 24257-2023")</f>
        <v/>
      </c>
      <c r="X18">
        <f>HYPERLINK("https://klasma.github.io/Logging_0126/kartor/A 24257-2023 karta.png", "A 24257-2023")</f>
        <v/>
      </c>
      <c r="Y18">
        <f>HYPERLINK("https://klasma.github.io/Logging_0126/kartor_geotiff/A 24257-2023 georefererad karta.tif", "A 24257-2023")</f>
        <v/>
      </c>
      <c r="AA18">
        <f>HYPERLINK("https://klasma.github.io/Logging_0126/klagomål/A 24257-2023 FSC-klagomål.docx", "A 24257-2023")</f>
        <v/>
      </c>
      <c r="AB18">
        <f>HYPERLINK("https://klasma.github.io/Logging_0126/klagomålsmail/A 24257-2023 FSC-klagomål mail.docx", "A 24257-2023")</f>
        <v/>
      </c>
      <c r="AC18">
        <f>HYPERLINK("https://klasma.github.io/Logging_0126/tillsyn/A 24257-2023 tillsynsbegäran.docx", "A 24257-2023")</f>
        <v/>
      </c>
      <c r="AD18">
        <f>HYPERLINK("https://klasma.github.io/Logging_0126/tillsynsmail/A 24257-2023 tillsynsbegäran mail.docx", "A 24257-2023")</f>
        <v/>
      </c>
    </row>
    <row r="19" ht="15" customHeight="1">
      <c r="A19" t="inlineStr">
        <is>
          <t>A 491-2026</t>
        </is>
      </c>
      <c r="B19" t="inlineStr">
        <is>
          <t>avverkningsanmälan</t>
        </is>
      </c>
      <c r="C19" t="inlineStr">
        <is>
          <t>Föryngringsavverkning</t>
        </is>
      </c>
      <c r="D19" s="1" t="n">
        <v>46029</v>
      </c>
      <c r="E19" s="1" t="n">
        <v>46232</v>
      </c>
      <c r="F19" t="inlineStr">
        <is>
          <t>STOCKHOLMS LÄN</t>
        </is>
      </c>
      <c r="G19" t="inlineStr">
        <is>
          <t>HUDDINGE</t>
        </is>
      </c>
      <c r="I19" t="n">
        <v>3.2</v>
      </c>
      <c r="J19" t="n">
        <v>1</v>
      </c>
      <c r="K19" t="n">
        <v>0</v>
      </c>
      <c r="L19" t="n">
        <v>0</v>
      </c>
      <c r="M19" t="n">
        <v>0</v>
      </c>
      <c r="N19" t="n">
        <v>0</v>
      </c>
      <c r="O19" t="n">
        <v>0</v>
      </c>
      <c r="P19" t="n">
        <v>0</v>
      </c>
      <c r="Q19" t="n">
        <v>0</v>
      </c>
      <c r="R19" t="n">
        <v>0</v>
      </c>
      <c r="S19" t="n">
        <v>1</v>
      </c>
      <c r="T19" t="n">
        <v>2</v>
      </c>
      <c r="U19" t="n">
        <v>0</v>
      </c>
      <c r="V19" s="2" t="inlineStr">
        <is>
          <t>Blåsippa</t>
        </is>
      </c>
      <c r="W19">
        <f>HYPERLINK("https://klasma.github.io/Logging_0126/artfynd/A 491-2026 artfynd.xlsx", "A 491-2026")</f>
        <v/>
      </c>
      <c r="X19">
        <f>HYPERLINK("https://klasma.github.io/Logging_0126/kartor/A 491-2026 karta.png", "A 491-2026")</f>
        <v/>
      </c>
      <c r="Y19">
        <f>HYPERLINK("https://klasma.github.io/Logging_0126/kartor_geotiff/A 491-2026 georefererad karta.tif", "A 491-2026")</f>
        <v/>
      </c>
      <c r="AA19">
        <f>HYPERLINK("https://klasma.github.io/Logging_0126/klagomål/A 491-2026 FSC-klagomål.docx", "A 491-2026")</f>
        <v/>
      </c>
      <c r="AB19">
        <f>HYPERLINK("https://klasma.github.io/Logging_0126/klagomålsmail/A 491-2026 FSC-klagomål mail.docx", "A 491-2026")</f>
        <v/>
      </c>
      <c r="AC19">
        <f>HYPERLINK("https://klasma.github.io/Logging_0126/tillsyn/A 491-2026 tillsynsbegäran.docx", "A 491-2026")</f>
        <v/>
      </c>
      <c r="AD19">
        <f>HYPERLINK("https://klasma.github.io/Logging_0126/tillsynsmail/A 491-2026 tillsynsbegäran mail.docx", "A 491-2026")</f>
        <v/>
      </c>
    </row>
    <row r="20" ht="15" customHeight="1">
      <c r="A20" t="inlineStr">
        <is>
          <t>A 24262-2023</t>
        </is>
      </c>
      <c r="B20" t="inlineStr">
        <is>
          <t>avverkningsanmälan</t>
        </is>
      </c>
      <c r="C20" t="inlineStr">
        <is>
          <t>Föryngringsavverkning</t>
        </is>
      </c>
      <c r="D20" s="1" t="n">
        <v>45076</v>
      </c>
      <c r="E20" s="1" t="n">
        <v>46232</v>
      </c>
      <c r="F20" t="inlineStr">
        <is>
          <t>STOCKHOLMS LÄN</t>
        </is>
      </c>
      <c r="G20" t="inlineStr">
        <is>
          <t>HUDDINGE</t>
        </is>
      </c>
      <c r="I20" t="n">
        <v>2.5</v>
      </c>
      <c r="J20" t="n">
        <v>0</v>
      </c>
      <c r="K20" t="n">
        <v>1</v>
      </c>
      <c r="L20" t="n">
        <v>0</v>
      </c>
      <c r="M20" t="n">
        <v>0</v>
      </c>
      <c r="N20" t="n">
        <v>0</v>
      </c>
      <c r="O20" t="n">
        <v>0</v>
      </c>
      <c r="P20" t="n">
        <v>0</v>
      </c>
      <c r="Q20" t="n">
        <v>0</v>
      </c>
      <c r="R20" t="n">
        <v>0</v>
      </c>
      <c r="S20" t="n">
        <v>1</v>
      </c>
      <c r="T20" t="n">
        <v>1</v>
      </c>
      <c r="U20" t="n">
        <v>1</v>
      </c>
      <c r="V20" s="2" t="inlineStr">
        <is>
          <t>Tibast</t>
        </is>
      </c>
      <c r="W20">
        <f>HYPERLINK("https://klasma.github.io/Logging_0126/artfynd/A 24262-2023 artfynd.xlsx", "A 24262-2023")</f>
        <v/>
      </c>
      <c r="X20">
        <f>HYPERLINK("https://klasma.github.io/Logging_0126/kartor/A 24262-2023 karta.png", "A 24262-2023")</f>
        <v/>
      </c>
      <c r="Y20">
        <f>HYPERLINK("https://klasma.github.io/Logging_0126/kartor_geotiff/A 24262-2023 georefererad karta.tif", "A 24262-2023")</f>
        <v/>
      </c>
      <c r="AA20">
        <f>HYPERLINK("https://klasma.github.io/Logging_0126/klagomål/A 24262-2023 FSC-klagomål.docx", "A 24262-2023")</f>
        <v/>
      </c>
      <c r="AB20">
        <f>HYPERLINK("https://klasma.github.io/Logging_0126/klagomålsmail/A 24262-2023 FSC-klagomål mail.docx", "A 24262-2023")</f>
        <v/>
      </c>
      <c r="AC20">
        <f>HYPERLINK("https://klasma.github.io/Logging_0126/tillsyn/A 24262-2023 tillsynsbegäran.docx", "A 24262-2023")</f>
        <v/>
      </c>
      <c r="AD20">
        <f>HYPERLINK("https://klasma.github.io/Logging_0126/tillsynsmail/A 24262-2023 tillsynsbegäran mail.docx", "A 24262-2023")</f>
        <v/>
      </c>
    </row>
    <row r="21" ht="15" customHeight="1">
      <c r="A21" t="inlineStr">
        <is>
          <t>A 24363-2023</t>
        </is>
      </c>
      <c r="B21" t="inlineStr">
        <is>
          <t>avverkningsanmälan</t>
        </is>
      </c>
      <c r="C21" t="inlineStr">
        <is>
          <t>Föryngringsavverkning</t>
        </is>
      </c>
      <c r="D21" s="1" t="n">
        <v>45076</v>
      </c>
      <c r="E21" s="1" t="n">
        <v>46232</v>
      </c>
      <c r="F21" t="inlineStr">
        <is>
          <t>STOCKHOLMS LÄN</t>
        </is>
      </c>
      <c r="G21" t="inlineStr">
        <is>
          <t>HUDDINGE</t>
        </is>
      </c>
      <c r="I21" t="n">
        <v>2.4</v>
      </c>
      <c r="J21" t="n">
        <v>1</v>
      </c>
      <c r="K21" t="n">
        <v>0</v>
      </c>
      <c r="L21" t="n">
        <v>0</v>
      </c>
      <c r="M21" t="n">
        <v>0</v>
      </c>
      <c r="N21" t="n">
        <v>0</v>
      </c>
      <c r="O21" t="n">
        <v>0</v>
      </c>
      <c r="P21" t="n">
        <v>0</v>
      </c>
      <c r="Q21" t="n">
        <v>0</v>
      </c>
      <c r="R21" t="n">
        <v>0</v>
      </c>
      <c r="S21" t="n">
        <v>1</v>
      </c>
      <c r="T21" t="n">
        <v>1</v>
      </c>
      <c r="U21" t="n">
        <v>1</v>
      </c>
      <c r="V21" s="2" t="inlineStr">
        <is>
          <t>Revlummer</t>
        </is>
      </c>
      <c r="W21">
        <f>HYPERLINK("https://klasma.github.io/Logging_0126/artfynd/A 24363-2023 artfynd.xlsx", "A 24363-2023")</f>
        <v/>
      </c>
      <c r="X21">
        <f>HYPERLINK("https://klasma.github.io/Logging_0126/kartor/A 24363-2023 karta.png", "A 24363-2023")</f>
        <v/>
      </c>
      <c r="Y21">
        <f>HYPERLINK("https://klasma.github.io/Logging_0126/kartor_geotiff/A 24363-2023 georefererad karta.tif", "A 24363-2023")</f>
        <v/>
      </c>
      <c r="AA21">
        <f>HYPERLINK("https://klasma.github.io/Logging_0126/klagomål/A 24363-2023 FSC-klagomål.docx", "A 24363-2023")</f>
        <v/>
      </c>
      <c r="AB21">
        <f>HYPERLINK("https://klasma.github.io/Logging_0126/klagomålsmail/A 24363-2023 FSC-klagomål mail.docx", "A 24363-2023")</f>
        <v/>
      </c>
      <c r="AC21">
        <f>HYPERLINK("https://klasma.github.io/Logging_0126/tillsyn/A 24363-2023 tillsynsbegäran.docx", "A 24363-2023")</f>
        <v/>
      </c>
      <c r="AD21">
        <f>HYPERLINK("https://klasma.github.io/Logging_0126/tillsynsmail/A 24363-2023 tillsynsbegäran mail.docx", "A 24363-2023")</f>
        <v/>
      </c>
    </row>
    <row r="22" ht="15" customHeight="1">
      <c r="A22" t="inlineStr">
        <is>
          <t>A 24233-2023</t>
        </is>
      </c>
      <c r="B22" t="inlineStr">
        <is>
          <t>avverkningsanmälan</t>
        </is>
      </c>
      <c r="C22" t="inlineStr">
        <is>
          <t>Föryngringsavverkning</t>
        </is>
      </c>
      <c r="D22" s="1" t="n">
        <v>45076</v>
      </c>
      <c r="E22" s="1" t="n">
        <v>46232</v>
      </c>
      <c r="F22" t="inlineStr">
        <is>
          <t>STOCKHOLMS LÄN</t>
        </is>
      </c>
      <c r="G22" t="inlineStr">
        <is>
          <t>HUDDINGE</t>
        </is>
      </c>
      <c r="I22" t="n">
        <v>3.7</v>
      </c>
      <c r="J22" t="n">
        <v>0</v>
      </c>
      <c r="K22" t="n">
        <v>0</v>
      </c>
      <c r="L22" t="n">
        <v>1</v>
      </c>
      <c r="M22" t="n">
        <v>0</v>
      </c>
      <c r="N22" t="n">
        <v>0</v>
      </c>
      <c r="O22" t="n">
        <v>0</v>
      </c>
      <c r="P22" t="n">
        <v>0</v>
      </c>
      <c r="Q22" t="n">
        <v>1</v>
      </c>
      <c r="R22" t="n">
        <v>0</v>
      </c>
      <c r="S22" t="n">
        <v>1</v>
      </c>
      <c r="T22" t="n">
        <v>1</v>
      </c>
      <c r="U22" t="n">
        <v>1</v>
      </c>
      <c r="V22" s="2" t="inlineStr">
        <is>
          <t>Svartvit taggsvamp</t>
        </is>
      </c>
      <c r="W22">
        <f>HYPERLINK("https://klasma.github.io/Logging_0126/artfynd/A 24233-2023 artfynd.xlsx", "A 24233-2023")</f>
        <v/>
      </c>
      <c r="X22">
        <f>HYPERLINK("https://klasma.github.io/Logging_0126/kartor/A 24233-2023 karta.png", "A 24233-2023")</f>
        <v/>
      </c>
      <c r="Y22">
        <f>HYPERLINK("https://klasma.github.io/Logging_0126/kartor_geotiff/A 24233-2023 georefererad karta.tif", "A 24233-2023")</f>
        <v/>
      </c>
      <c r="AA22">
        <f>HYPERLINK("https://klasma.github.io/Logging_0126/klagomål/A 24233-2023 FSC-klagomål.docx", "A 24233-2023")</f>
        <v/>
      </c>
      <c r="AB22">
        <f>HYPERLINK("https://klasma.github.io/Logging_0126/klagomålsmail/A 24233-2023 FSC-klagomål mail.docx", "A 24233-2023")</f>
        <v/>
      </c>
      <c r="AC22">
        <f>HYPERLINK("https://klasma.github.io/Logging_0126/tillsyn/A 24233-2023 tillsynsbegäran.docx", "A 24233-2023")</f>
        <v/>
      </c>
      <c r="AD22">
        <f>HYPERLINK("https://klasma.github.io/Logging_0126/tillsynsmail/A 24233-2023 tillsynsbegäran mail.docx", "A 24233-2023")</f>
        <v/>
      </c>
    </row>
    <row r="23" ht="15" customHeight="1">
      <c r="A23" t="inlineStr">
        <is>
          <t>A 31514-2026</t>
        </is>
      </c>
      <c r="B23" t="inlineStr">
        <is>
          <t>avverkningsanmälan</t>
        </is>
      </c>
      <c r="C23" t="inlineStr">
        <is>
          <t>Avverkning för annat ändamål</t>
        </is>
      </c>
      <c r="D23" s="1" t="n">
        <v>46223</v>
      </c>
      <c r="E23" s="1" t="n">
        <v>46232</v>
      </c>
      <c r="F23" t="inlineStr">
        <is>
          <t>STOCKHOLMS LÄN</t>
        </is>
      </c>
      <c r="G23" t="inlineStr">
        <is>
          <t>HUDDINGE</t>
        </is>
      </c>
      <c r="H23" t="inlineStr">
        <is>
          <t>Kommuner</t>
        </is>
      </c>
      <c r="I23" t="n">
        <v>1</v>
      </c>
      <c r="J23" t="n">
        <v>0</v>
      </c>
      <c r="K23" t="n">
        <v>1</v>
      </c>
      <c r="L23" t="n">
        <v>0</v>
      </c>
      <c r="M23" t="n">
        <v>0</v>
      </c>
      <c r="N23" t="n">
        <v>0</v>
      </c>
      <c r="O23" t="n">
        <v>0</v>
      </c>
      <c r="P23" t="n">
        <v>0</v>
      </c>
      <c r="Q23" t="n">
        <v>0</v>
      </c>
      <c r="R23" t="n">
        <v>0</v>
      </c>
      <c r="S23" t="n">
        <v>1</v>
      </c>
      <c r="T23" t="n">
        <v>2</v>
      </c>
      <c r="U23" t="n">
        <v>0</v>
      </c>
      <c r="V23" s="2" t="inlineStr">
        <is>
          <t>Tibast</t>
        </is>
      </c>
      <c r="W23">
        <f>HYPERLINK("https://klasma.github.io/Logging_0126/artfynd/A 31514-2026 artfynd.xlsx", "A 31514-2026")</f>
        <v/>
      </c>
      <c r="X23">
        <f>HYPERLINK("https://klasma.github.io/Logging_0126/kartor/A 31514-2026 karta.png", "A 31514-2026")</f>
        <v/>
      </c>
      <c r="Y23">
        <f>HYPERLINK("https://klasma.github.io/Logging_0126/kartor_geotiff/A 31514-2026 georefererad karta.tif", "A 31514-2026")</f>
        <v/>
      </c>
      <c r="AA23">
        <f>HYPERLINK("https://klasma.github.io/Logging_0126/klagomål/A 31514-2026 FSC-klagomål.docx", "A 31514-2026")</f>
        <v/>
      </c>
      <c r="AB23">
        <f>HYPERLINK("https://klasma.github.io/Logging_0126/klagomålsmail/A 31514-2026 FSC-klagomål mail.docx", "A 31514-2026")</f>
        <v/>
      </c>
      <c r="AC23">
        <f>HYPERLINK("https://klasma.github.io/Logging_0126/tillsyn/A 31514-2026 tillsynsbegäran.docx", "A 31514-2026")</f>
        <v/>
      </c>
      <c r="AD23">
        <f>HYPERLINK("https://klasma.github.io/Logging_0126/tillsynsmail/A 31514-2026 tillsynsbegäran mail.docx", "A 31514-2026")</f>
        <v/>
      </c>
    </row>
    <row r="24" ht="15" customHeight="1">
      <c r="A24" t="inlineStr">
        <is>
          <t>A 31568-2026</t>
        </is>
      </c>
      <c r="B24" t="inlineStr">
        <is>
          <t>avverkningsanmälan</t>
        </is>
      </c>
      <c r="C24" t="inlineStr">
        <is>
          <t>Avverkning för annat ändamål</t>
        </is>
      </c>
      <c r="D24" s="1" t="n">
        <v>46223</v>
      </c>
      <c r="E24" s="1" t="n">
        <v>46232</v>
      </c>
      <c r="F24" t="inlineStr">
        <is>
          <t>STOCKHOLMS LÄN</t>
        </is>
      </c>
      <c r="G24" t="inlineStr">
        <is>
          <t>HUDDINGE</t>
        </is>
      </c>
      <c r="H24" t="inlineStr">
        <is>
          <t>Kommuner</t>
        </is>
      </c>
      <c r="I24" t="n">
        <v>0.2</v>
      </c>
      <c r="J24" t="n">
        <v>1</v>
      </c>
      <c r="K24" t="n">
        <v>0</v>
      </c>
      <c r="L24" t="n">
        <v>0</v>
      </c>
      <c r="M24" t="n">
        <v>0</v>
      </c>
      <c r="N24" t="n">
        <v>0</v>
      </c>
      <c r="O24" t="n">
        <v>0</v>
      </c>
      <c r="P24" t="n">
        <v>0</v>
      </c>
      <c r="Q24" t="n">
        <v>0</v>
      </c>
      <c r="R24" t="n">
        <v>0</v>
      </c>
      <c r="S24" t="n">
        <v>1</v>
      </c>
      <c r="T24" t="n">
        <v>1</v>
      </c>
      <c r="U24" t="n">
        <v>0</v>
      </c>
      <c r="V24" s="2" t="inlineStr">
        <is>
          <t>Skogsödla</t>
        </is>
      </c>
      <c r="W24">
        <f>HYPERLINK("https://klasma.github.io/Logging_0126/artfynd/A 31568-2026 artfynd.xlsx", "A 31568-2026")</f>
        <v/>
      </c>
      <c r="X24">
        <f>HYPERLINK("https://klasma.github.io/Logging_0126/kartor/A 31568-2026 karta.png", "A 31568-2026")</f>
        <v/>
      </c>
      <c r="Y24">
        <f>HYPERLINK("https://klasma.github.io/Logging_0126/kartor_geotiff/A 31568-2026 georefererad karta.tif", "A 31568-2026")</f>
        <v/>
      </c>
      <c r="AA24">
        <f>HYPERLINK("https://klasma.github.io/Logging_0126/klagomål/A 31568-2026 FSC-klagomål.docx", "A 31568-2026")</f>
        <v/>
      </c>
      <c r="AB24">
        <f>HYPERLINK("https://klasma.github.io/Logging_0126/klagomålsmail/A 31568-2026 FSC-klagomål mail.docx", "A 31568-2026")</f>
        <v/>
      </c>
      <c r="AC24">
        <f>HYPERLINK("https://klasma.github.io/Logging_0126/tillsyn/A 31568-2026 tillsynsbegäran.docx", "A 31568-2026")</f>
        <v/>
      </c>
      <c r="AD24">
        <f>HYPERLINK("https://klasma.github.io/Logging_0126/tillsynsmail/A 31568-2026 tillsynsbegäran mail.docx", "A 31568-2026")</f>
        <v/>
      </c>
    </row>
    <row r="25" ht="15" customHeight="1">
      <c r="A25" t="inlineStr">
        <is>
          <t>A 31633-2026</t>
        </is>
      </c>
      <c r="B25" t="inlineStr">
        <is>
          <t>avverkningsanmälan</t>
        </is>
      </c>
      <c r="C25" t="inlineStr">
        <is>
          <t>Avverkning för annat ändamål</t>
        </is>
      </c>
      <c r="D25" s="1" t="n">
        <v>46223</v>
      </c>
      <c r="E25" s="1" t="n">
        <v>46232</v>
      </c>
      <c r="F25" t="inlineStr">
        <is>
          <t>STOCKHOLMS LÄN</t>
        </is>
      </c>
      <c r="G25" t="inlineStr">
        <is>
          <t>HUDDINGE</t>
        </is>
      </c>
      <c r="H25" t="inlineStr">
        <is>
          <t>Kommuner</t>
        </is>
      </c>
      <c r="I25" t="n">
        <v>2.5</v>
      </c>
      <c r="J25" t="n">
        <v>1</v>
      </c>
      <c r="K25" t="n">
        <v>0</v>
      </c>
      <c r="L25" t="n">
        <v>0</v>
      </c>
      <c r="M25" t="n">
        <v>0</v>
      </c>
      <c r="N25" t="n">
        <v>0</v>
      </c>
      <c r="O25" t="n">
        <v>0</v>
      </c>
      <c r="P25" t="n">
        <v>0</v>
      </c>
      <c r="Q25" t="n">
        <v>0</v>
      </c>
      <c r="R25" t="n">
        <v>0</v>
      </c>
      <c r="S25" t="n">
        <v>1</v>
      </c>
      <c r="T25" t="n">
        <v>2</v>
      </c>
      <c r="U25" t="n">
        <v>0</v>
      </c>
      <c r="V25" s="2" t="inlineStr">
        <is>
          <t>Kopparödla</t>
        </is>
      </c>
      <c r="W25">
        <f>HYPERLINK("https://klasma.github.io/Logging_0126/artfynd/A 31633-2026 artfynd.xlsx", "A 31633-2026")</f>
        <v/>
      </c>
      <c r="X25">
        <f>HYPERLINK("https://klasma.github.io/Logging_0126/kartor/A 31633-2026 karta.png", "A 31633-2026")</f>
        <v/>
      </c>
      <c r="Y25">
        <f>HYPERLINK("https://klasma.github.io/Logging_0126/kartor_geotiff/A 31633-2026 georefererad karta.tif", "A 31633-2026")</f>
        <v/>
      </c>
      <c r="AA25">
        <f>HYPERLINK("https://klasma.github.io/Logging_0126/klagomål/A 31633-2026 FSC-klagomål.docx", "A 31633-2026")</f>
        <v/>
      </c>
      <c r="AB25">
        <f>HYPERLINK("https://klasma.github.io/Logging_0126/klagomålsmail/A 31633-2026 FSC-klagomål mail.docx", "A 31633-2026")</f>
        <v/>
      </c>
      <c r="AC25">
        <f>HYPERLINK("https://klasma.github.io/Logging_0126/tillsyn/A 31633-2026 tillsynsbegäran.docx", "A 31633-2026")</f>
        <v/>
      </c>
      <c r="AD25">
        <f>HYPERLINK("https://klasma.github.io/Logging_0126/tillsynsmail/A 31633-2026 tillsynsbegäran mail.docx", "A 31633-2026")</f>
        <v/>
      </c>
    </row>
    <row r="26" ht="15" customHeight="1">
      <c r="A26" t="inlineStr">
        <is>
          <t>A 31795-2026</t>
        </is>
      </c>
      <c r="B26" t="inlineStr">
        <is>
          <t>avverkningsanmälan</t>
        </is>
      </c>
      <c r="C26" t="inlineStr">
        <is>
          <t>Avverkning för annat ändamål</t>
        </is>
      </c>
      <c r="D26" s="1" t="n">
        <v>46230</v>
      </c>
      <c r="E26" s="1" t="n">
        <v>46232</v>
      </c>
      <c r="F26" t="inlineStr">
        <is>
          <t>STOCKHOLMS LÄN</t>
        </is>
      </c>
      <c r="G26" t="inlineStr">
        <is>
          <t>HUDDINGE</t>
        </is>
      </c>
      <c r="H26" t="inlineStr">
        <is>
          <t>Kommuner</t>
        </is>
      </c>
      <c r="I26" t="n">
        <v>2.1</v>
      </c>
      <c r="J26" t="n">
        <v>1</v>
      </c>
      <c r="K26" t="n">
        <v>0</v>
      </c>
      <c r="L26" t="n">
        <v>0</v>
      </c>
      <c r="M26" t="n">
        <v>0</v>
      </c>
      <c r="N26" t="n">
        <v>0</v>
      </c>
      <c r="O26" t="n">
        <v>0</v>
      </c>
      <c r="P26" t="n">
        <v>0</v>
      </c>
      <c r="Q26" t="n">
        <v>0</v>
      </c>
      <c r="R26" t="n">
        <v>0</v>
      </c>
      <c r="S26" t="n">
        <v>1</v>
      </c>
      <c r="T26" t="n">
        <v>1</v>
      </c>
      <c r="U26" t="n">
        <v>0</v>
      </c>
      <c r="V26" s="2" t="inlineStr">
        <is>
          <t>Revlummer</t>
        </is>
      </c>
      <c r="W26">
        <f>HYPERLINK("https://klasma.github.io/Logging_0126/artfynd/A 31795-2026 artfynd.xlsx", "A 31795-2026")</f>
        <v/>
      </c>
      <c r="X26">
        <f>HYPERLINK("https://klasma.github.io/Logging_0126/kartor/A 31795-2026 karta.png", "A 31795-2026")</f>
        <v/>
      </c>
      <c r="Y26">
        <f>HYPERLINK("https://klasma.github.io/Logging_0126/kartor_geotiff/A 31795-2026 georefererad karta.tif", "A 31795-2026")</f>
        <v/>
      </c>
      <c r="AA26">
        <f>HYPERLINK("https://klasma.github.io/Logging_0126/klagomål/A 31795-2026 FSC-klagomål.docx", "A 31795-2026")</f>
        <v/>
      </c>
      <c r="AB26">
        <f>HYPERLINK("https://klasma.github.io/Logging_0126/klagomålsmail/A 31795-2026 FSC-klagomål mail.docx", "A 31795-2026")</f>
        <v/>
      </c>
      <c r="AC26">
        <f>HYPERLINK("https://klasma.github.io/Logging_0126/tillsyn/A 31795-2026 tillsynsbegäran.docx", "A 31795-2026")</f>
        <v/>
      </c>
      <c r="AD26">
        <f>HYPERLINK("https://klasma.github.io/Logging_0126/tillsynsmail/A 31795-2026 tillsynsbegäran mail.docx", "A 31795-2026")</f>
        <v/>
      </c>
    </row>
    <row r="27" ht="15" customHeight="1">
      <c r="A27" t="inlineStr">
        <is>
          <t>A 27561-2025</t>
        </is>
      </c>
      <c r="B27" t="inlineStr">
        <is>
          <t>avverkningsanmälan</t>
        </is>
      </c>
      <c r="C27" t="inlineStr">
        <is>
          <t>Föryngringsavverkning</t>
        </is>
      </c>
      <c r="D27" s="1" t="n">
        <v>45813</v>
      </c>
      <c r="E27" s="1" t="n">
        <v>46232</v>
      </c>
      <c r="F27" t="inlineStr">
        <is>
          <t>STOCKHOLMS LÄN</t>
        </is>
      </c>
      <c r="G27" t="inlineStr">
        <is>
          <t>HUDDINGE</t>
        </is>
      </c>
      <c r="I27" t="n">
        <v>0.7</v>
      </c>
      <c r="J27" t="n">
        <v>0</v>
      </c>
      <c r="K27" t="n">
        <v>0</v>
      </c>
      <c r="L27" t="n">
        <v>0</v>
      </c>
      <c r="M27" t="n">
        <v>0</v>
      </c>
      <c r="N27" t="n">
        <v>0</v>
      </c>
      <c r="O27" t="n">
        <v>0</v>
      </c>
      <c r="P27" t="n">
        <v>0</v>
      </c>
      <c r="Q27" t="n">
        <v>0</v>
      </c>
      <c r="R27" t="n">
        <v>0</v>
      </c>
      <c r="S27" t="n">
        <v>0</v>
      </c>
      <c r="T27" t="n">
        <v>0</v>
      </c>
      <c r="U27" t="n">
        <v>0</v>
      </c>
      <c r="V27" s="2" t="inlineStr"/>
    </row>
    <row r="28" ht="15" customHeight="1">
      <c r="A28" t="inlineStr">
        <is>
          <t>A 47173-2022</t>
        </is>
      </c>
      <c r="B28" t="inlineStr">
        <is>
          <t>avverkningsanmälan</t>
        </is>
      </c>
      <c r="C28" t="inlineStr">
        <is>
          <t>Föryngringsavverkning</t>
        </is>
      </c>
      <c r="D28" s="1" t="n">
        <v>44852</v>
      </c>
      <c r="E28" s="1" t="n">
        <v>46232</v>
      </c>
      <c r="F28" t="inlineStr">
        <is>
          <t>STOCKHOLMS LÄN</t>
        </is>
      </c>
      <c r="G28" t="inlineStr">
        <is>
          <t>HUDDINGE</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35404-2022</t>
        </is>
      </c>
      <c r="B29" t="inlineStr">
        <is>
          <t>avverkningsanmälan</t>
        </is>
      </c>
      <c r="C29" t="inlineStr">
        <is>
          <t>Föryngringsavverkning</t>
        </is>
      </c>
      <c r="D29" s="1" t="n">
        <v>44798</v>
      </c>
      <c r="E29" s="1" t="n">
        <v>46232</v>
      </c>
      <c r="F29" t="inlineStr">
        <is>
          <t>STOCKHOLMS LÄN</t>
        </is>
      </c>
      <c r="G29" t="inlineStr">
        <is>
          <t>HUDDINGE</t>
        </is>
      </c>
      <c r="H29" t="inlineStr">
        <is>
          <t>Kommuner</t>
        </is>
      </c>
      <c r="I29" t="n">
        <v>1.4</v>
      </c>
      <c r="J29" t="n">
        <v>0</v>
      </c>
      <c r="K29" t="n">
        <v>0</v>
      </c>
      <c r="L29" t="n">
        <v>0</v>
      </c>
      <c r="M29" t="n">
        <v>0</v>
      </c>
      <c r="N29" t="n">
        <v>0</v>
      </c>
      <c r="O29" t="n">
        <v>0</v>
      </c>
      <c r="P29" t="n">
        <v>0</v>
      </c>
      <c r="Q29" t="n">
        <v>0</v>
      </c>
      <c r="R29" t="n">
        <v>0</v>
      </c>
      <c r="S29" t="n">
        <v>0</v>
      </c>
      <c r="T29" t="n">
        <v>0</v>
      </c>
      <c r="U29" t="n">
        <v>0</v>
      </c>
      <c r="V29" s="2" t="inlineStr"/>
    </row>
    <row r="30" ht="15" customHeight="1">
      <c r="A30" t="inlineStr">
        <is>
          <t>A 31246-2022</t>
        </is>
      </c>
      <c r="B30" t="inlineStr">
        <is>
          <t>avverkningsanmälan</t>
        </is>
      </c>
      <c r="C30" t="inlineStr">
        <is>
          <t>Avverkning för annat ändamål</t>
        </is>
      </c>
      <c r="D30" s="1" t="n">
        <v>44771</v>
      </c>
      <c r="E30" s="1" t="n">
        <v>46232</v>
      </c>
      <c r="F30" t="inlineStr">
        <is>
          <t>STOCKHOLMS LÄN</t>
        </is>
      </c>
      <c r="G30" t="inlineStr">
        <is>
          <t>HUDDINGE</t>
        </is>
      </c>
      <c r="I30" t="n">
        <v>4.3</v>
      </c>
      <c r="J30" t="n">
        <v>0</v>
      </c>
      <c r="K30" t="n">
        <v>0</v>
      </c>
      <c r="L30" t="n">
        <v>0</v>
      </c>
      <c r="M30" t="n">
        <v>0</v>
      </c>
      <c r="N30" t="n">
        <v>0</v>
      </c>
      <c r="O30" t="n">
        <v>0</v>
      </c>
      <c r="P30" t="n">
        <v>0</v>
      </c>
      <c r="Q30" t="n">
        <v>0</v>
      </c>
      <c r="R30" t="n">
        <v>0</v>
      </c>
      <c r="S30" t="n">
        <v>0</v>
      </c>
      <c r="T30" t="n">
        <v>0</v>
      </c>
      <c r="U30" t="n">
        <v>0</v>
      </c>
      <c r="V30" s="2" t="inlineStr"/>
    </row>
    <row r="31" ht="15" customHeight="1">
      <c r="A31" t="inlineStr">
        <is>
          <t>A 31651-2026</t>
        </is>
      </c>
      <c r="B31" t="inlineStr">
        <is>
          <t>avverkningsanmälan</t>
        </is>
      </c>
      <c r="C31" t="inlineStr">
        <is>
          <t>Avverkning för annat ändamål</t>
        </is>
      </c>
      <c r="D31" s="1" t="n">
        <v>46223</v>
      </c>
      <c r="E31" s="1" t="n">
        <v>46232</v>
      </c>
      <c r="F31" t="inlineStr">
        <is>
          <t>STOCKHOLMS LÄN</t>
        </is>
      </c>
      <c r="G31" t="inlineStr">
        <is>
          <t>HUDDINGE</t>
        </is>
      </c>
      <c r="H31" t="inlineStr">
        <is>
          <t>Kommuner</t>
        </is>
      </c>
      <c r="I31" t="n">
        <v>0</v>
      </c>
      <c r="J31" t="n">
        <v>0</v>
      </c>
      <c r="K31" t="n">
        <v>0</v>
      </c>
      <c r="L31" t="n">
        <v>0</v>
      </c>
      <c r="M31" t="n">
        <v>0</v>
      </c>
      <c r="N31" t="n">
        <v>0</v>
      </c>
      <c r="O31" t="n">
        <v>0</v>
      </c>
      <c r="P31" t="n">
        <v>0</v>
      </c>
      <c r="Q31" t="n">
        <v>0</v>
      </c>
      <c r="R31" t="n">
        <v>0</v>
      </c>
      <c r="S31" t="n">
        <v>0</v>
      </c>
      <c r="T31" t="n">
        <v>0</v>
      </c>
      <c r="U31" t="n">
        <v>0</v>
      </c>
      <c r="V31" s="2" t="inlineStr"/>
      <c r="X31">
        <f>HYPERLINK("https://klasma.github.io/Logging_0126/kartor/A 31651-2026 karta.png", "A 31651-2026")</f>
        <v/>
      </c>
      <c r="Y31">
        <f>HYPERLINK("https://klasma.github.io/Logging_0126/kartor_geotiff/A 31651-2026 georefererad karta.tif", "A 31651-2026")</f>
        <v/>
      </c>
      <c r="AA31">
        <f>HYPERLINK("https://klasma.github.io/Logging_0126/klagomål/A 31651-2026 FSC-klagomål.docx", "A 31651-2026")</f>
        <v/>
      </c>
      <c r="AB31">
        <f>HYPERLINK("https://klasma.github.io/Logging_0126/klagomålsmail/A 31651-2026 FSC-klagomål mail.docx", "A 31651-2026")</f>
        <v/>
      </c>
      <c r="AC31">
        <f>HYPERLINK("https://klasma.github.io/Logging_0126/tillsyn/A 31651-2026 tillsynsbegäran.docx", "A 31651-2026")</f>
        <v/>
      </c>
      <c r="AD31">
        <f>HYPERLINK("https://klasma.github.io/Logging_0126/tillsynsmail/A 31651-2026 tillsynsbegäran mail.docx", "A 31651-2026")</f>
        <v/>
      </c>
    </row>
    <row r="32" ht="15" customHeight="1">
      <c r="A32" t="inlineStr">
        <is>
          <t>A 31650-2026</t>
        </is>
      </c>
      <c r="B32" t="inlineStr">
        <is>
          <t>avverkningsanmälan</t>
        </is>
      </c>
      <c r="C32" t="inlineStr">
        <is>
          <t>Avverkning för annat ändamål</t>
        </is>
      </c>
      <c r="D32" s="1" t="n">
        <v>46225</v>
      </c>
      <c r="E32" s="1" t="n">
        <v>46232</v>
      </c>
      <c r="F32" t="inlineStr">
        <is>
          <t>STOCKHOLMS LÄN</t>
        </is>
      </c>
      <c r="G32" t="inlineStr">
        <is>
          <t>HUDDINGE</t>
        </is>
      </c>
      <c r="H32" t="inlineStr">
        <is>
          <t>Kommuner</t>
        </is>
      </c>
      <c r="I32" t="n">
        <v>2.1</v>
      </c>
      <c r="J32" t="n">
        <v>0</v>
      </c>
      <c r="K32" t="n">
        <v>0</v>
      </c>
      <c r="L32" t="n">
        <v>0</v>
      </c>
      <c r="M32" t="n">
        <v>0</v>
      </c>
      <c r="N32" t="n">
        <v>0</v>
      </c>
      <c r="O32" t="n">
        <v>0</v>
      </c>
      <c r="P32" t="n">
        <v>0</v>
      </c>
      <c r="Q32" t="n">
        <v>0</v>
      </c>
      <c r="R32" t="n">
        <v>0</v>
      </c>
      <c r="S32" t="n">
        <v>0</v>
      </c>
      <c r="T32" t="n">
        <v>0</v>
      </c>
      <c r="U32" t="n">
        <v>0</v>
      </c>
      <c r="V32" s="2" t="inlineStr"/>
    </row>
    <row r="33">
      <c r="A33" t="inlineStr">
        <is>
          <t>A 31645-2026</t>
        </is>
      </c>
      <c r="B33" t="inlineStr">
        <is>
          <t>avverkningsanmälan</t>
        </is>
      </c>
      <c r="C33" t="inlineStr">
        <is>
          <t>Avverkning för annat ändamål</t>
        </is>
      </c>
      <c r="D33" s="1" t="n">
        <v>46225</v>
      </c>
      <c r="E33" s="1" t="n">
        <v>46232</v>
      </c>
      <c r="F33" t="inlineStr">
        <is>
          <t>STOCKHOLMS LÄN</t>
        </is>
      </c>
      <c r="G33" t="inlineStr">
        <is>
          <t>HUDDINGE</t>
        </is>
      </c>
      <c r="H33" t="inlineStr">
        <is>
          <t>Kommuner</t>
        </is>
      </c>
      <c r="I33" t="n">
        <v>0.7</v>
      </c>
      <c r="J33" t="n">
        <v>0</v>
      </c>
      <c r="K33" t="n">
        <v>0</v>
      </c>
      <c r="L33" t="n">
        <v>0</v>
      </c>
      <c r="M33" t="n">
        <v>0</v>
      </c>
      <c r="N33" t="n">
        <v>0</v>
      </c>
      <c r="O33" t="n">
        <v>0</v>
      </c>
      <c r="P33" t="n">
        <v>0</v>
      </c>
      <c r="Q33" t="n">
        <v>0</v>
      </c>
      <c r="R33" t="n">
        <v>0</v>
      </c>
      <c r="S33" t="n">
        <v>0</v>
      </c>
      <c r="T33" t="n">
        <v>0</v>
      </c>
      <c r="U33" t="n">
        <v>0</v>
      </c>
      <c r="V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2026-07-29T01:52:41Z</dcterms:created>
  <dcterms:modified xmlns:dcterms="http://purl.org/dc/terms/" xmlns:xsi="http://www.w3.org/2001/XMLSchema-instance" xsi:type="dcterms:W3CDTF">2026-07-29T01:52:41Z</dcterms:modified>
</cp:coreProperties>
</file>