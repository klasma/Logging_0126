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46324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46324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46324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49421-2023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46324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1.4</v>
      </c>
      <c r="J5" t="n">
        <v>3</v>
      </c>
      <c r="K5" t="n">
        <v>1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5</v>
      </c>
      <c r="V5" s="2" t="inlineStr">
        <is>
          <t>Grönfink
Sexfläckig bastardsvärmare
Gulsparv
Tallticka
Mindre märgborre
Blåsippa</t>
        </is>
      </c>
      <c r="W5">
        <f>HYPERLINK("https://klasma.github.io/Logging_0126/artfynd/A 49421-2023 artfynd.xlsx", "A 49421-2023")</f>
        <v/>
      </c>
      <c r="X5">
        <f>HYPERLINK("https://klasma.github.io/Logging_0126/kartor/A 49421-2023 karta.png", "A 49421-2023")</f>
        <v/>
      </c>
      <c r="Y5">
        <f>HYPERLINK("https://klasma.github.io/Logging_0126/kartor_geotiff/A 49421-2023 georefererad karta.tif", "A 49421-2023")</f>
        <v/>
      </c>
      <c r="AA5">
        <f>HYPERLINK("https://klasma.github.io/Logging_0126/klagomål/A 49421-2023 FSC-klagomål.docx", "A 49421-2023")</f>
        <v/>
      </c>
      <c r="AB5">
        <f>HYPERLINK("https://klasma.github.io/Logging_0126/klagomålsmail/A 49421-2023 FSC-klagomål mail.docx", "A 49421-2023")</f>
        <v/>
      </c>
      <c r="AC5">
        <f>HYPERLINK("https://klasma.github.io/Logging_0126/tillsyn/A 49421-2023 tillsynsbegäran.docx", "A 49421-2023")</f>
        <v/>
      </c>
      <c r="AD5">
        <f>HYPERLINK("https://klasma.github.io/Logging_0126/tillsynsmail/A 49421-2023 tillsynsbegäran mail.docx", "A 49421-2023")</f>
        <v/>
      </c>
      <c r="AE5">
        <f>HYPERLINK("https://klasma.github.io/Logging_0126/fåglar/A 49421-2023 prioriterade fågelarter.docx", "A 49421-2023")</f>
        <v/>
      </c>
    </row>
    <row r="6" ht="15" customHeight="1">
      <c r="A6" t="inlineStr">
        <is>
          <t>A 49419-2023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46324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1.9</v>
      </c>
      <c r="J6" t="n">
        <v>6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7</v>
      </c>
      <c r="U6" t="n">
        <v>7</v>
      </c>
      <c r="V6" s="2" t="inlineStr">
        <is>
          <t>Grönfink
Ladusvala
Fiskgjuse
Havsörn
Kråka
Ärtsångare</t>
        </is>
      </c>
      <c r="W6">
        <f>HYPERLINK("https://klasma.github.io/Logging_0126/artfynd/A 49419-2023 artfynd.xlsx", "A 49419-2023")</f>
        <v/>
      </c>
      <c r="X6">
        <f>HYPERLINK("https://klasma.github.io/Logging_0126/kartor/A 49419-2023 karta.png", "A 49419-2023")</f>
        <v/>
      </c>
      <c r="Y6">
        <f>HYPERLINK("https://klasma.github.io/Logging_0126/kartor_geotiff/A 49419-2023 georefererad karta.tif", "A 49419-2023")</f>
        <v/>
      </c>
      <c r="AA6">
        <f>HYPERLINK("https://klasma.github.io/Logging_0126/klagomål/A 49419-2023 FSC-klagomål.docx", "A 49419-2023")</f>
        <v/>
      </c>
      <c r="AB6">
        <f>HYPERLINK("https://klasma.github.io/Logging_0126/klagomålsmail/A 49419-2023 FSC-klagomål mail.docx", "A 49419-2023")</f>
        <v/>
      </c>
      <c r="AC6">
        <f>HYPERLINK("https://klasma.github.io/Logging_0126/tillsyn/A 49419-2023 tillsynsbegäran.docx", "A 49419-2023")</f>
        <v/>
      </c>
      <c r="AD6">
        <f>HYPERLINK("https://klasma.github.io/Logging_0126/tillsynsmail/A 49419-2023 tillsynsbegäran mail.docx", "A 49419-2023")</f>
        <v/>
      </c>
      <c r="AE6">
        <f>HYPERLINK("https://klasma.github.io/Logging_0126/fåglar/A 49419-2023 prioriterade fågelarter.docx", "A 49419-2023")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46324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44802-2026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46318</v>
      </c>
      <c r="E8" s="1" t="n">
        <v>46324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5.4</v>
      </c>
      <c r="J8" t="n">
        <v>0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Blodvaxing
Gulvaxing
Hagfingersvamp
Mönjevaxing
Papegojvaxing</t>
        </is>
      </c>
      <c r="W8">
        <f>HYPERLINK("https://klasma.github.io/Logging_0126/artfynd/A 44802-2026 artfynd.xlsx", "A 44802-2026")</f>
        <v/>
      </c>
      <c r="X8">
        <f>HYPERLINK("https://klasma.github.io/Logging_0126/kartor/A 44802-2026 karta.png", "A 44802-2026")</f>
        <v/>
      </c>
      <c r="Y8">
        <f>HYPERLINK("https://klasma.github.io/Logging_0126/kartor_geotiff/A 44802-2026 georefererad karta.tif", "A 44802-2026")</f>
        <v/>
      </c>
      <c r="AA8">
        <f>HYPERLINK("https://klasma.github.io/Logging_0126/klagomål/A 44802-2026 FSC-klagomål.docx", "A 44802-2026")</f>
        <v/>
      </c>
      <c r="AB8">
        <f>HYPERLINK("https://klasma.github.io/Logging_0126/klagomålsmail/A 44802-2026 FSC-klagomål mail.docx", "A 44802-2026")</f>
        <v/>
      </c>
      <c r="AC8">
        <f>HYPERLINK("https://klasma.github.io/Logging_0126/tillsyn/A 44802-2026 tillsynsbegäran.docx", "A 44802-2026")</f>
        <v/>
      </c>
      <c r="AD8">
        <f>HYPERLINK("https://klasma.github.io/Logging_0126/tillsynsmail/A 44802-2026 tillsynsbegäran mail.docx", "A 44802-2026")</f>
        <v/>
      </c>
    </row>
    <row r="9" ht="15" customHeight="1">
      <c r="A9" t="inlineStr">
        <is>
          <t>A 32508-2022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44782</v>
      </c>
      <c r="E9" s="1" t="n">
        <v>46324</v>
      </c>
      <c r="F9" t="inlineStr">
        <is>
          <t>STOCKHOLMS LÄN</t>
        </is>
      </c>
      <c r="G9" t="inlineStr">
        <is>
          <t>HUDDINGE</t>
        </is>
      </c>
      <c r="H9" t="inlineStr">
        <is>
          <t>Kommuner</t>
        </is>
      </c>
      <c r="I9" t="n">
        <v>4.7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3</v>
      </c>
      <c r="V9" s="2" t="inlineStr">
        <is>
          <t>Strutbräken
Blåsippa
Kopparödla</t>
        </is>
      </c>
      <c r="W9">
        <f>HYPERLINK("https://klasma.github.io/Logging_0126/artfynd/A 32508-2022 artfynd.xlsx", "A 32508-2022")</f>
        <v/>
      </c>
      <c r="X9">
        <f>HYPERLINK("https://klasma.github.io/Logging_0126/kartor/A 32508-2022 karta.png", "A 32508-2022")</f>
        <v/>
      </c>
      <c r="Y9">
        <f>HYPERLINK("https://klasma.github.io/Logging_0126/kartor_geotiff/A 32508-2022 georefererad karta.tif", "A 32508-2022")</f>
        <v/>
      </c>
      <c r="AA9">
        <f>HYPERLINK("https://klasma.github.io/Logging_0126/klagomål/A 32508-2022 FSC-klagomål.docx", "A 32508-2022")</f>
        <v/>
      </c>
      <c r="AB9">
        <f>HYPERLINK("https://klasma.github.io/Logging_0126/klagomålsmail/A 32508-2022 FSC-klagomål mail.docx", "A 32508-2022")</f>
        <v/>
      </c>
      <c r="AC9">
        <f>HYPERLINK("https://klasma.github.io/Logging_0126/tillsyn/A 32508-2022 tillsynsbegäran.docx", "A 32508-2022")</f>
        <v/>
      </c>
      <c r="AD9">
        <f>HYPERLINK("https://klasma.github.io/Logging_0126/tillsynsmail/A 32508-2022 tillsynsbegäran mail.docx", "A 32508-2022")</f>
        <v/>
      </c>
    </row>
    <row r="10" ht="15" customHeight="1">
      <c r="A10" t="inlineStr">
        <is>
          <t>A 24254-2023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46324</v>
      </c>
      <c r="F10" t="inlineStr">
        <is>
          <t>STOCKHOLMS LÄN</t>
        </is>
      </c>
      <c r="G10" t="inlineStr">
        <is>
          <t>HUDDINGE</t>
        </is>
      </c>
      <c r="I10" t="n">
        <v>1.2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Tallharticka
Kandelabersvamp
Vit vedfingersvamp</t>
        </is>
      </c>
      <c r="W10">
        <f>HYPERLINK("https://klasma.github.io/Logging_0126/artfynd/A 24254-2023 artfynd.xlsx", "A 24254-2023")</f>
        <v/>
      </c>
      <c r="X10">
        <f>HYPERLINK("https://klasma.github.io/Logging_0126/kartor/A 24254-2023 karta.png", "A 24254-2023")</f>
        <v/>
      </c>
      <c r="Y10">
        <f>HYPERLINK("https://klasma.github.io/Logging_0126/kartor_geotiff/A 24254-2023 georefererad karta.tif", "A 24254-2023")</f>
        <v/>
      </c>
      <c r="AA10">
        <f>HYPERLINK("https://klasma.github.io/Logging_0126/klagomål/A 24254-2023 FSC-klagomål.docx", "A 24254-2023")</f>
        <v/>
      </c>
      <c r="AB10">
        <f>HYPERLINK("https://klasma.github.io/Logging_0126/klagomålsmail/A 24254-2023 FSC-klagomål mail.docx", "A 24254-2023")</f>
        <v/>
      </c>
      <c r="AC10">
        <f>HYPERLINK("https://klasma.github.io/Logging_0126/tillsyn/A 24254-2023 tillsynsbegäran.docx", "A 24254-2023")</f>
        <v/>
      </c>
      <c r="AD10">
        <f>HYPERLINK("https://klasma.github.io/Logging_0126/tillsynsmail/A 24254-2023 tillsynsbegäran mail.docx", "A 24254-2023")</f>
        <v/>
      </c>
    </row>
    <row r="11" ht="15" customHeight="1">
      <c r="A11" t="inlineStr">
        <is>
          <t>A 25210-2026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46324</v>
      </c>
      <c r="F11" t="inlineStr">
        <is>
          <t>STOCKHOLMS LÄN</t>
        </is>
      </c>
      <c r="G11" t="inlineStr">
        <is>
          <t>HUDDINGE</t>
        </is>
      </c>
      <c r="I11" t="n">
        <v>0.6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Blåsippa
Mindre vattensalamander
Vanlig padda</t>
        </is>
      </c>
      <c r="W11">
        <f>HYPERLINK("https://klasma.github.io/Logging_0126/artfynd/A 25210-2026 artfynd.xlsx", "A 25210-2026")</f>
        <v/>
      </c>
      <c r="X11">
        <f>HYPERLINK("https://klasma.github.io/Logging_0126/kartor/A 25210-2026 karta.png", "A 25210-2026")</f>
        <v/>
      </c>
      <c r="Y11">
        <f>HYPERLINK("https://klasma.github.io/Logging_0126/kartor_geotiff/A 25210-2026 georefererad karta.tif", "A 25210-2026")</f>
        <v/>
      </c>
      <c r="AA11">
        <f>HYPERLINK("https://klasma.github.io/Logging_0126/klagomål/A 25210-2026 FSC-klagomål.docx", "A 25210-2026")</f>
        <v/>
      </c>
      <c r="AB11">
        <f>HYPERLINK("https://klasma.github.io/Logging_0126/klagomålsmail/A 25210-2026 FSC-klagomål mail.docx", "A 25210-2026")</f>
        <v/>
      </c>
      <c r="AC11">
        <f>HYPERLINK("https://klasma.github.io/Logging_0126/tillsyn/A 25210-2026 tillsynsbegäran.docx", "A 25210-2026")</f>
        <v/>
      </c>
      <c r="AD11">
        <f>HYPERLINK("https://klasma.github.io/Logging_0126/tillsynsmail/A 25210-2026 tillsynsbegäran mail.docx", "A 25210-2026")</f>
        <v/>
      </c>
    </row>
    <row r="12" ht="15" customHeight="1">
      <c r="A12" t="inlineStr">
        <is>
          <t>A 31632-2026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46223</v>
      </c>
      <c r="E12" s="1" t="n">
        <v>46324</v>
      </c>
      <c r="F12" t="inlineStr">
        <is>
          <t>STOCKHOLMS LÄN</t>
        </is>
      </c>
      <c r="G12" t="inlineStr">
        <is>
          <t>HUDDINGE</t>
        </is>
      </c>
      <c r="H12" t="inlineStr">
        <is>
          <t>Kommuner</t>
        </is>
      </c>
      <c r="I12" t="n">
        <v>0.2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Tallticka
Mindre märgborre
Kopparödla</t>
        </is>
      </c>
      <c r="W12">
        <f>HYPERLINK("https://klasma.github.io/Logging_0126/artfynd/A 31632-2026 artfynd.xlsx", "A 31632-2026")</f>
        <v/>
      </c>
      <c r="X12">
        <f>HYPERLINK("https://klasma.github.io/Logging_0126/kartor/A 31632-2026 karta.png", "A 31632-2026")</f>
        <v/>
      </c>
      <c r="Y12">
        <f>HYPERLINK("https://klasma.github.io/Logging_0126/kartor_geotiff/A 31632-2026 georefererad karta.tif", "A 31632-2026")</f>
        <v/>
      </c>
      <c r="AA12">
        <f>HYPERLINK("https://klasma.github.io/Logging_0126/klagomål/A 31632-2026 FSC-klagomål.docx", "A 31632-2026")</f>
        <v/>
      </c>
      <c r="AB12">
        <f>HYPERLINK("https://klasma.github.io/Logging_0126/klagomålsmail/A 31632-2026 FSC-klagomål mail.docx", "A 31632-2026")</f>
        <v/>
      </c>
      <c r="AC12">
        <f>HYPERLINK("https://klasma.github.io/Logging_0126/tillsyn/A 31632-2026 tillsynsbegäran.docx", "A 31632-2026")</f>
        <v/>
      </c>
      <c r="AD12">
        <f>HYPERLINK("https://klasma.github.io/Logging_0126/tillsynsmail/A 31632-2026 tillsynsbegäran mail.docx", "A 31632-2026")</f>
        <v/>
      </c>
    </row>
    <row r="13" ht="15" customHeight="1">
      <c r="A13" t="inlineStr">
        <is>
          <t>A 24384-2023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46324</v>
      </c>
      <c r="F13" t="inlineStr">
        <is>
          <t>STOCKHOLMS LÄN</t>
        </is>
      </c>
      <c r="G13" t="inlineStr">
        <is>
          <t>HUDDINGE</t>
        </is>
      </c>
      <c r="I13" t="n">
        <v>1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Kolflarnlav
Vedskivlav
Spillkråka</t>
        </is>
      </c>
      <c r="W13">
        <f>HYPERLINK("https://klasma.github.io/Logging_0126/artfynd/A 24384-2023 artfynd.xlsx", "A 24384-2023")</f>
        <v/>
      </c>
      <c r="X13">
        <f>HYPERLINK("https://klasma.github.io/Logging_0126/kartor/A 24384-2023 karta.png", "A 24384-2023")</f>
        <v/>
      </c>
      <c r="Y13">
        <f>HYPERLINK("https://klasma.github.io/Logging_0126/kartor_geotiff/A 24384-2023 georefererad karta.tif", "A 24384-2023")</f>
        <v/>
      </c>
      <c r="AA13">
        <f>HYPERLINK("https://klasma.github.io/Logging_0126/klagomål/A 24384-2023 FSC-klagomål.docx", "A 24384-2023")</f>
        <v/>
      </c>
      <c r="AB13">
        <f>HYPERLINK("https://klasma.github.io/Logging_0126/klagomålsmail/A 24384-2023 FSC-klagomål mail.docx", "A 24384-2023")</f>
        <v/>
      </c>
      <c r="AC13">
        <f>HYPERLINK("https://klasma.github.io/Logging_0126/tillsyn/A 24384-2023 tillsynsbegäran.docx", "A 24384-2023")</f>
        <v/>
      </c>
      <c r="AD13">
        <f>HYPERLINK("https://klasma.github.io/Logging_0126/tillsynsmail/A 24384-2023 tillsynsbegäran mail.docx", "A 24384-2023")</f>
        <v/>
      </c>
      <c r="AE13">
        <f>HYPERLINK("https://klasma.github.io/Logging_0126/fåglar/A 24384-2023 prioriterade fågelarter.docx", "A 24384-2023")</f>
        <v/>
      </c>
    </row>
    <row r="14" ht="15" customHeight="1">
      <c r="A14" t="inlineStr">
        <is>
          <t>A 17467-2024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46324</v>
      </c>
      <c r="F14" t="inlineStr">
        <is>
          <t>STOCKHOLMS LÄN</t>
        </is>
      </c>
      <c r="G14" t="inlineStr">
        <is>
          <t>HUDDINGE</t>
        </is>
      </c>
      <c r="I14" t="n">
        <v>14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Knärot
Motaggsvamp
Bronshjon</t>
        </is>
      </c>
      <c r="W14">
        <f>HYPERLINK("https://klasma.github.io/Logging_0126/artfynd/A 17467-2024 artfynd.xlsx", "A 17467-2024")</f>
        <v/>
      </c>
      <c r="X14">
        <f>HYPERLINK("https://klasma.github.io/Logging_0126/kartor/A 17467-2024 karta.png", "A 17467-2024")</f>
        <v/>
      </c>
      <c r="Y14">
        <f>HYPERLINK("https://klasma.github.io/Logging_0126/kartor_geotiff/A 17467-2024 georefererad karta.tif", "A 17467-2024")</f>
        <v/>
      </c>
      <c r="Z14">
        <f>HYPERLINK("https://klasma.github.io/Logging_0126/knärot/A 17467-2024 karta knärot.png", "A 17467-2024")</f>
        <v/>
      </c>
      <c r="AA14">
        <f>HYPERLINK("https://klasma.github.io/Logging_0126/klagomål/A 17467-2024 FSC-klagomål.docx", "A 17467-2024")</f>
        <v/>
      </c>
      <c r="AB14">
        <f>HYPERLINK("https://klasma.github.io/Logging_0126/klagomålsmail/A 17467-2024 FSC-klagomål mail.docx", "A 17467-2024")</f>
        <v/>
      </c>
      <c r="AC14">
        <f>HYPERLINK("https://klasma.github.io/Logging_0126/tillsyn/A 17467-2024 tillsynsbegäran.docx", "A 17467-2024")</f>
        <v/>
      </c>
      <c r="AD14">
        <f>HYPERLINK("https://klasma.github.io/Logging_0126/tillsynsmail/A 17467-2024 tillsynsbegäran mail.docx", "A 17467-2024")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46324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46324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24368-2023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46324</v>
      </c>
      <c r="F17" t="inlineStr">
        <is>
          <t>STOCKHOLMS LÄN</t>
        </is>
      </c>
      <c r="G17" t="inlineStr">
        <is>
          <t>HUDDINGE</t>
        </is>
      </c>
      <c r="I17" t="n">
        <v>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Motaggsvamp
Plattlummer</t>
        </is>
      </c>
      <c r="W17">
        <f>HYPERLINK("https://klasma.github.io/Logging_0126/artfynd/A 24368-2023 artfynd.xlsx", "A 24368-2023")</f>
        <v/>
      </c>
      <c r="X17">
        <f>HYPERLINK("https://klasma.github.io/Logging_0126/kartor/A 24368-2023 karta.png", "A 24368-2023")</f>
        <v/>
      </c>
      <c r="Y17">
        <f>HYPERLINK("https://klasma.github.io/Logging_0126/kartor_geotiff/A 24368-2023 georefererad karta.tif", "A 24368-2023")</f>
        <v/>
      </c>
      <c r="AA17">
        <f>HYPERLINK("https://klasma.github.io/Logging_0126/klagomål/A 24368-2023 FSC-klagomål.docx", "A 24368-2023")</f>
        <v/>
      </c>
      <c r="AB17">
        <f>HYPERLINK("https://klasma.github.io/Logging_0126/klagomålsmail/A 24368-2023 FSC-klagomål mail.docx", "A 24368-2023")</f>
        <v/>
      </c>
      <c r="AC17">
        <f>HYPERLINK("https://klasma.github.io/Logging_0126/tillsyn/A 24368-2023 tillsynsbegäran.docx", "A 24368-2023")</f>
        <v/>
      </c>
      <c r="AD17">
        <f>HYPERLINK("https://klasma.github.io/Logging_0126/tillsynsmail/A 24368-2023 tillsynsbegäran mail.docx", "A 24368-2023")</f>
        <v/>
      </c>
    </row>
    <row r="18" ht="15" customHeight="1">
      <c r="A18" t="inlineStr">
        <is>
          <t>A 24257-2023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46324</v>
      </c>
      <c r="F18" t="inlineStr">
        <is>
          <t>STOCKHOLMS LÄN</t>
        </is>
      </c>
      <c r="G18" t="inlineStr">
        <is>
          <t>HUDDINGE</t>
        </is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Kolflarnlav</t>
        </is>
      </c>
      <c r="W18">
        <f>HYPERLINK("https://klasma.github.io/Logging_0126/artfynd/A 24257-2023 artfynd.xlsx", "A 24257-2023")</f>
        <v/>
      </c>
      <c r="X18">
        <f>HYPERLINK("https://klasma.github.io/Logging_0126/kartor/A 24257-2023 karta.png", "A 24257-2023")</f>
        <v/>
      </c>
      <c r="Y18">
        <f>HYPERLINK("https://klasma.github.io/Logging_0126/kartor_geotiff/A 24257-2023 georefererad karta.tif", "A 24257-2023")</f>
        <v/>
      </c>
      <c r="AA18">
        <f>HYPERLINK("https://klasma.github.io/Logging_0126/klagomål/A 24257-2023 FSC-klagomål.docx", "A 24257-2023")</f>
        <v/>
      </c>
      <c r="AB18">
        <f>HYPERLINK("https://klasma.github.io/Logging_0126/klagomålsmail/A 24257-2023 FSC-klagomål mail.docx", "A 24257-2023")</f>
        <v/>
      </c>
      <c r="AC18">
        <f>HYPERLINK("https://klasma.github.io/Logging_0126/tillsyn/A 24257-2023 tillsynsbegäran.docx", "A 24257-2023")</f>
        <v/>
      </c>
      <c r="AD18">
        <f>HYPERLINK("https://klasma.github.io/Logging_0126/tillsynsmail/A 24257-2023 tillsynsbegäran mail.docx", "A 24257-2023")</f>
        <v/>
      </c>
    </row>
    <row r="19" ht="15" customHeight="1">
      <c r="A19" t="inlineStr">
        <is>
          <t>A 24233-2023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46324</v>
      </c>
      <c r="F19" t="inlineStr">
        <is>
          <t>STOCKHOLMS LÄN</t>
        </is>
      </c>
      <c r="G19" t="inlineStr">
        <is>
          <t>HUDDINGE</t>
        </is>
      </c>
      <c r="I19" t="n">
        <v>3.7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Svartvit taggsvamp</t>
        </is>
      </c>
      <c r="W19">
        <f>HYPERLINK("https://klasma.github.io/Logging_0126/artfynd/A 24233-2023 artfynd.xlsx", "A 24233-2023")</f>
        <v/>
      </c>
      <c r="X19">
        <f>HYPERLINK("https://klasma.github.io/Logging_0126/kartor/A 24233-2023 karta.png", "A 24233-2023")</f>
        <v/>
      </c>
      <c r="Y19">
        <f>HYPERLINK("https://klasma.github.io/Logging_0126/kartor_geotiff/A 24233-2023 georefererad karta.tif", "A 24233-2023")</f>
        <v/>
      </c>
      <c r="AA19">
        <f>HYPERLINK("https://klasma.github.io/Logging_0126/klagomål/A 24233-2023 FSC-klagomål.docx", "A 24233-2023")</f>
        <v/>
      </c>
      <c r="AB19">
        <f>HYPERLINK("https://klasma.github.io/Logging_0126/klagomålsmail/A 24233-2023 FSC-klagomål mail.docx", "A 24233-2023")</f>
        <v/>
      </c>
      <c r="AC19">
        <f>HYPERLINK("https://klasma.github.io/Logging_0126/tillsyn/A 24233-2023 tillsynsbegäran.docx", "A 24233-2023")</f>
        <v/>
      </c>
      <c r="AD19">
        <f>HYPERLINK("https://klasma.github.io/Logging_0126/tillsynsmail/A 24233-2023 tillsynsbegäran mail.docx", "A 24233-2023")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46324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46324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46324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46324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46324</v>
      </c>
      <c r="F24" t="inlineStr">
        <is>
          <t>STOCKHOLMS LÄN</t>
        </is>
      </c>
      <c r="G24" t="inlineStr">
        <is>
          <t>HUDDINGE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HYPERLINK("https://klasma.github.io/Logging_0126/artfynd/A 24262-2023 artfynd.xlsx", "A 24262-2023")</f>
        <v/>
      </c>
      <c r="X24">
        <f>HYPERLINK("https://klasma.github.io/Logging_0126/kartor/A 24262-2023 karta.png", "A 24262-2023")</f>
        <v/>
      </c>
      <c r="Y24">
        <f>HYPERLINK("https://klasma.github.io/Logging_0126/kartor_geotiff/A 24262-2023 georefererad karta.tif", "A 24262-2023")</f>
        <v/>
      </c>
      <c r="AA24">
        <f>HYPERLINK("https://klasma.github.io/Logging_0126/klagomål/A 24262-2023 FSC-klagomål.docx", "A 24262-2023")</f>
        <v/>
      </c>
      <c r="AB24">
        <f>HYPERLINK("https://klasma.github.io/Logging_0126/klagomålsmail/A 24262-2023 FSC-klagomål mail.docx", "A 24262-2023")</f>
        <v/>
      </c>
      <c r="AC24">
        <f>HYPERLINK("https://klasma.github.io/Logging_0126/tillsyn/A 24262-2023 tillsynsbegäran.docx", "A 24262-2023")</f>
        <v/>
      </c>
      <c r="AD24">
        <f>HYPERLINK("https://klasma.github.io/Logging_0126/tillsynsmail/A 24262-2023 tillsynsbegäran mail.docx", "A 24262-2023")</f>
        <v/>
      </c>
    </row>
    <row r="25" ht="15" customHeight="1">
      <c r="A25" t="inlineStr">
        <is>
          <t>A 24363-2023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46324</v>
      </c>
      <c r="F25" t="inlineStr">
        <is>
          <t>STOCKHOLMS LÄN</t>
        </is>
      </c>
      <c r="G25" t="inlineStr">
        <is>
          <t>HUDDINGE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HYPERLINK("https://klasma.github.io/Logging_0126/artfynd/A 24363-2023 artfynd.xlsx", "A 24363-2023")</f>
        <v/>
      </c>
      <c r="X25">
        <f>HYPERLINK("https://klasma.github.io/Logging_0126/kartor/A 24363-2023 karta.png", "A 24363-2023")</f>
        <v/>
      </c>
      <c r="Y25">
        <f>HYPERLINK("https://klasma.github.io/Logging_0126/kartor_geotiff/A 24363-2023 georefererad karta.tif", "A 24363-2023")</f>
        <v/>
      </c>
      <c r="AA25">
        <f>HYPERLINK("https://klasma.github.io/Logging_0126/klagomål/A 24363-2023 FSC-klagomål.docx", "A 24363-2023")</f>
        <v/>
      </c>
      <c r="AB25">
        <f>HYPERLINK("https://klasma.github.io/Logging_0126/klagomålsmail/A 24363-2023 FSC-klagomål mail.docx", "A 24363-2023")</f>
        <v/>
      </c>
      <c r="AC25">
        <f>HYPERLINK("https://klasma.github.io/Logging_0126/tillsyn/A 24363-2023 tillsynsbegäran.docx", "A 24363-2023")</f>
        <v/>
      </c>
      <c r="AD25">
        <f>HYPERLINK("https://klasma.github.io/Logging_0126/tillsynsmail/A 24363-2023 tillsynsbegäran mail.docx", "A 24363-2023")</f>
        <v/>
      </c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46324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27561-2025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46324</v>
      </c>
      <c r="F27" t="inlineStr">
        <is>
          <t>STOCKHOLMS LÄN</t>
        </is>
      </c>
      <c r="G27" t="inlineStr">
        <is>
          <t>HUDDINGE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46324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31246-2022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44771</v>
      </c>
      <c r="E29" s="1" t="n">
        <v>46324</v>
      </c>
      <c r="F29" t="inlineStr">
        <is>
          <t>STOCKHOLMS LÄN</t>
        </is>
      </c>
      <c r="G29" t="inlineStr">
        <is>
          <t>HUDDINGE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46324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31651-2026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46223</v>
      </c>
      <c r="E31" s="1" t="n">
        <v>46324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  <c r="X31">
        <f>HYPERLINK("https://klasma.github.io/Logging_0126/kartor/A 31651-2026 karta.png", "A 31651-2026")</f>
        <v/>
      </c>
      <c r="Y31">
        <f>HYPERLINK("https://klasma.github.io/Logging_0126/kartor_geotiff/A 31651-2026 georefererad karta.tif", "A 31651-2026")</f>
        <v/>
      </c>
      <c r="AA31">
        <f>HYPERLINK("https://klasma.github.io/Logging_0126/klagomål/A 31651-2026 FSC-klagomål.docx", "A 31651-2026")</f>
        <v/>
      </c>
      <c r="AB31">
        <f>HYPERLINK("https://klasma.github.io/Logging_0126/klagomålsmail/A 31651-2026 FSC-klagomål mail.docx", "A 31651-2026")</f>
        <v/>
      </c>
      <c r="AC31">
        <f>HYPERLINK("https://klasma.github.io/Logging_0126/tillsyn/A 31651-2026 tillsynsbegäran.docx", "A 31651-2026")</f>
        <v/>
      </c>
      <c r="AD31">
        <f>HYPERLINK("https://klasma.github.io/Logging_0126/tillsynsmail/A 31651-2026 tillsynsbegäran mail.docx", "A 31651-2026")</f>
        <v/>
      </c>
    </row>
    <row r="32">
      <c r="A32" t="inlineStr">
        <is>
          <t>A 31650-2026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46225</v>
      </c>
      <c r="E32" s="1" t="n">
        <v>46324</v>
      </c>
      <c r="F32" t="inlineStr">
        <is>
          <t>STOCKHOLMS LÄN</t>
        </is>
      </c>
      <c r="G32" t="inlineStr">
        <is>
          <t>HUDDINGE</t>
        </is>
      </c>
      <c r="H32" t="inlineStr">
        <is>
          <t>Kommuner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2026-10-29T03:15:34Z</dcterms:created>
  <dcterms:modified xmlns:dcterms="http://purl.org/dc/terms/" xmlns:xsi="http://www.w3.org/2001/XMLSchema-instance" xsi:type="dcterms:W3CDTF">2026-10-29T03:15:34Z</dcterms:modified>
</cp:coreProperties>
</file>