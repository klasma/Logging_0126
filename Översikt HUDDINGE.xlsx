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46070</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46070</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46070</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46070</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46070</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46070</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46070</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46070</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24384-2023</t>
        </is>
      </c>
      <c r="B10" s="1" t="n">
        <v>45076</v>
      </c>
      <c r="C10" s="1" t="n">
        <v>46070</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46070</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46070</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491-2026</t>
        </is>
      </c>
      <c r="B13" s="1" t="n">
        <v>46029.42581018519</v>
      </c>
      <c r="C13" s="1" t="n">
        <v>46070</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49421-2023</t>
        </is>
      </c>
      <c r="B14" s="1" t="n">
        <v>45211</v>
      </c>
      <c r="C14" s="1" t="n">
        <v>46070</v>
      </c>
      <c r="D14" t="inlineStr">
        <is>
          <t>STOCKHOLMS LÄN</t>
        </is>
      </c>
      <c r="E14" t="inlineStr">
        <is>
          <t>HUDDINGE</t>
        </is>
      </c>
      <c r="F14" t="inlineStr">
        <is>
          <t>Kommuner</t>
        </is>
      </c>
      <c r="G14" t="n">
        <v>1.4</v>
      </c>
      <c r="H14" t="n">
        <v>1</v>
      </c>
      <c r="I14" t="n">
        <v>0</v>
      </c>
      <c r="J14" t="n">
        <v>0</v>
      </c>
      <c r="K14" t="n">
        <v>0</v>
      </c>
      <c r="L14" t="n">
        <v>1</v>
      </c>
      <c r="M14" t="n">
        <v>0</v>
      </c>
      <c r="N14" t="n">
        <v>0</v>
      </c>
      <c r="O14" t="n">
        <v>1</v>
      </c>
      <c r="P14" t="n">
        <v>1</v>
      </c>
      <c r="Q14" t="n">
        <v>1</v>
      </c>
      <c r="R14" s="2" t="inlineStr">
        <is>
          <t>Grönfink</t>
        </is>
      </c>
      <c r="S14">
        <f>HYPERLINK("https://klasma.github.io/Logging_0126/artfynd/A 49421-2023 artfynd.xlsx", "A 49421-2023")</f>
        <v/>
      </c>
      <c r="T14">
        <f>HYPERLINK("https://klasma.github.io/Logging_0126/kartor/A 49421-2023 karta.png", "A 49421-2023")</f>
        <v/>
      </c>
      <c r="V14">
        <f>HYPERLINK("https://klasma.github.io/Logging_0126/klagomål/A 49421-2023 FSC-klagomål.docx", "A 49421-2023")</f>
        <v/>
      </c>
      <c r="W14">
        <f>HYPERLINK("https://klasma.github.io/Logging_0126/klagomålsmail/A 49421-2023 FSC-klagomål mail.docx", "A 49421-2023")</f>
        <v/>
      </c>
      <c r="X14">
        <f>HYPERLINK("https://klasma.github.io/Logging_0126/tillsyn/A 49421-2023 tillsynsbegäran.docx", "A 49421-2023")</f>
        <v/>
      </c>
      <c r="Y14">
        <f>HYPERLINK("https://klasma.github.io/Logging_0126/tillsynsmail/A 49421-2023 tillsynsbegäran mail.docx", "A 49421-2023")</f>
        <v/>
      </c>
      <c r="Z14">
        <f>HYPERLINK("https://klasma.github.io/Logging_0126/fåglar/A 49421-2023 prioriterade fågelarter.docx", "A 49421-2023")</f>
        <v/>
      </c>
    </row>
    <row r="15" ht="15" customHeight="1">
      <c r="A15" t="inlineStr">
        <is>
          <t>A 24233-2023</t>
        </is>
      </c>
      <c r="B15" s="1" t="n">
        <v>45076</v>
      </c>
      <c r="C15" s="1" t="n">
        <v>46070</v>
      </c>
      <c r="D15" t="inlineStr">
        <is>
          <t>STOCKHOLMS LÄN</t>
        </is>
      </c>
      <c r="E15" t="inlineStr">
        <is>
          <t>HUDDINGE</t>
        </is>
      </c>
      <c r="G15" t="n">
        <v>3.7</v>
      </c>
      <c r="H15" t="n">
        <v>0</v>
      </c>
      <c r="I15" t="n">
        <v>0</v>
      </c>
      <c r="J15" t="n">
        <v>1</v>
      </c>
      <c r="K15" t="n">
        <v>0</v>
      </c>
      <c r="L15" t="n">
        <v>0</v>
      </c>
      <c r="M15" t="n">
        <v>0</v>
      </c>
      <c r="N15" t="n">
        <v>0</v>
      </c>
      <c r="O15" t="n">
        <v>1</v>
      </c>
      <c r="P15" t="n">
        <v>0</v>
      </c>
      <c r="Q15" t="n">
        <v>1</v>
      </c>
      <c r="R15" s="2" t="inlineStr">
        <is>
          <t>Svartvit taggsvamp</t>
        </is>
      </c>
      <c r="S15">
        <f>HYPERLINK("https://klasma.github.io/Logging_0126/artfynd/A 24233-2023 artfynd.xlsx", "A 24233-2023")</f>
        <v/>
      </c>
      <c r="T15">
        <f>HYPERLINK("https://klasma.github.io/Logging_0126/kartor/A 24233-2023 karta.png", "A 24233-2023")</f>
        <v/>
      </c>
      <c r="V15">
        <f>HYPERLINK("https://klasma.github.io/Logging_0126/klagomål/A 24233-2023 FSC-klagomål.docx", "A 24233-2023")</f>
        <v/>
      </c>
      <c r="W15">
        <f>HYPERLINK("https://klasma.github.io/Logging_0126/klagomålsmail/A 24233-2023 FSC-klagomål mail.docx", "A 24233-2023")</f>
        <v/>
      </c>
      <c r="X15">
        <f>HYPERLINK("https://klasma.github.io/Logging_0126/tillsyn/A 24233-2023 tillsynsbegäran.docx", "A 24233-2023")</f>
        <v/>
      </c>
      <c r="Y15">
        <f>HYPERLINK("https://klasma.github.io/Logging_0126/tillsynsmail/A 24233-2023 tillsynsbegäran mail.docx", "A 24233-2023")</f>
        <v/>
      </c>
    </row>
    <row r="16" ht="15" customHeight="1">
      <c r="A16" t="inlineStr">
        <is>
          <t>A 32508-2022</t>
        </is>
      </c>
      <c r="B16" s="1" t="n">
        <v>44782</v>
      </c>
      <c r="C16" s="1" t="n">
        <v>46070</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46070</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46070</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27561-2025</t>
        </is>
      </c>
      <c r="B19" s="1" t="n">
        <v>45813.48378472222</v>
      </c>
      <c r="C19" s="1" t="n">
        <v>46070</v>
      </c>
      <c r="D19" t="inlineStr">
        <is>
          <t>STOCKHOLMS LÄN</t>
        </is>
      </c>
      <c r="E19" t="inlineStr">
        <is>
          <t>HUDDINGE</t>
        </is>
      </c>
      <c r="G19" t="n">
        <v>0.7</v>
      </c>
      <c r="H19" t="n">
        <v>0</v>
      </c>
      <c r="I19" t="n">
        <v>0</v>
      </c>
      <c r="J19" t="n">
        <v>0</v>
      </c>
      <c r="K19" t="n">
        <v>0</v>
      </c>
      <c r="L19" t="n">
        <v>0</v>
      </c>
      <c r="M19" t="n">
        <v>0</v>
      </c>
      <c r="N19" t="n">
        <v>0</v>
      </c>
      <c r="O19" t="n">
        <v>0</v>
      </c>
      <c r="P19" t="n">
        <v>0</v>
      </c>
      <c r="Q19" t="n">
        <v>0</v>
      </c>
      <c r="R19" s="2" t="inlineStr"/>
    </row>
    <row r="20" ht="15" customHeight="1">
      <c r="A20" t="inlineStr">
        <is>
          <t>A 27589-2025</t>
        </is>
      </c>
      <c r="B20" s="1" t="n">
        <v>45813.51070601852</v>
      </c>
      <c r="C20" s="1" t="n">
        <v>46070</v>
      </c>
      <c r="D20" t="inlineStr">
        <is>
          <t>STOCKHOLMS LÄN</t>
        </is>
      </c>
      <c r="E20" t="inlineStr">
        <is>
          <t>HUDDINGE</t>
        </is>
      </c>
      <c r="G20" t="n">
        <v>2.7</v>
      </c>
      <c r="H20" t="n">
        <v>0</v>
      </c>
      <c r="I20" t="n">
        <v>0</v>
      </c>
      <c r="J20" t="n">
        <v>0</v>
      </c>
      <c r="K20" t="n">
        <v>0</v>
      </c>
      <c r="L20" t="n">
        <v>0</v>
      </c>
      <c r="M20" t="n">
        <v>0</v>
      </c>
      <c r="N20" t="n">
        <v>0</v>
      </c>
      <c r="O20" t="n">
        <v>0</v>
      </c>
      <c r="P20" t="n">
        <v>0</v>
      </c>
      <c r="Q20" t="n">
        <v>0</v>
      </c>
      <c r="R20" s="2" t="inlineStr"/>
    </row>
    <row r="21" ht="15" customHeight="1">
      <c r="A21" t="inlineStr">
        <is>
          <t>A 24363-2023</t>
        </is>
      </c>
      <c r="B21" s="1" t="n">
        <v>45076</v>
      </c>
      <c r="C21" s="1" t="n">
        <v>46070</v>
      </c>
      <c r="D21" t="inlineStr">
        <is>
          <t>STOCKHOLMS LÄN</t>
        </is>
      </c>
      <c r="E21" t="inlineStr">
        <is>
          <t>HUDDINGE</t>
        </is>
      </c>
      <c r="G21" t="n">
        <v>2.4</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46070</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ht="15" customHeight="1">
      <c r="A23" t="inlineStr">
        <is>
          <t>A 35404-2022</t>
        </is>
      </c>
      <c r="B23" s="1" t="n">
        <v>44798</v>
      </c>
      <c r="C23" s="1" t="n">
        <v>46070</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row r="24">
      <c r="A24" t="inlineStr">
        <is>
          <t>A 31246-2022</t>
        </is>
      </c>
      <c r="B24" s="1" t="n">
        <v>44771</v>
      </c>
      <c r="C24" s="1" t="n">
        <v>46070</v>
      </c>
      <c r="D24" t="inlineStr">
        <is>
          <t>STOCKHOLMS LÄN</t>
        </is>
      </c>
      <c r="E24" t="inlineStr">
        <is>
          <t>HUDDINGE</t>
        </is>
      </c>
      <c r="G24" t="n">
        <v>4.3</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2026-02-17T11:40:07Z</dcterms:created>
  <dcterms:modified xmlns:dcterms="http://purl.org/dc/terms/" xmlns:xsi="http://www.w3.org/2001/XMLSchema-instance" xsi:type="dcterms:W3CDTF">2026-02-17T11:40:07Z</dcterms:modified>
</cp:coreProperties>
</file>