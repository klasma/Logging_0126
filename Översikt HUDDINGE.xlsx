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17467-2024</t>
        </is>
      </c>
      <c r="B6" s="1" t="n">
        <v>45415.44597222222</v>
      </c>
      <c r="C6" s="1" t="n">
        <v>46128</v>
      </c>
      <c r="D6" t="inlineStr">
        <is>
          <t>STOCKHOLMS LÄN</t>
        </is>
      </c>
      <c r="E6" t="inlineStr">
        <is>
          <t>HUDDINGE</t>
        </is>
      </c>
      <c r="G6" t="n">
        <v>14</v>
      </c>
      <c r="H6" t="n">
        <v>1</v>
      </c>
      <c r="I6" t="n">
        <v>0</v>
      </c>
      <c r="J6" t="n">
        <v>1</v>
      </c>
      <c r="K6" t="n">
        <v>1</v>
      </c>
      <c r="L6" t="n">
        <v>0</v>
      </c>
      <c r="M6" t="n">
        <v>0</v>
      </c>
      <c r="N6" t="n">
        <v>0</v>
      </c>
      <c r="O6" t="n">
        <v>2</v>
      </c>
      <c r="P6" t="n">
        <v>1</v>
      </c>
      <c r="Q6" t="n">
        <v>2</v>
      </c>
      <c r="R6" s="2" t="inlineStr">
        <is>
          <t>Knärot
Motaggsvamp</t>
        </is>
      </c>
      <c r="S6">
        <f>HYPERLINK("https://klasma.github.io/Logging_0126/artfynd/A 17467-2024 artfynd.xlsx", "A 17467-2024")</f>
        <v/>
      </c>
      <c r="T6">
        <f>HYPERLINK("https://klasma.github.io/Logging_0126/kartor/A 17467-2024 karta.png", "A 17467-2024")</f>
        <v/>
      </c>
      <c r="U6">
        <f>HYPERLINK("https://klasma.github.io/Logging_0126/knärot/A 17467-2024 karta knärot.png", "A 17467-2024")</f>
        <v/>
      </c>
      <c r="V6">
        <f>HYPERLINK("https://klasma.github.io/Logging_0126/klagomål/A 17467-2024 FSC-klagomål.docx", "A 17467-2024")</f>
        <v/>
      </c>
      <c r="W6">
        <f>HYPERLINK("https://klasma.github.io/Logging_0126/klagomålsmail/A 17467-2024 FSC-klagomål mail.docx", "A 17467-2024")</f>
        <v/>
      </c>
      <c r="X6">
        <f>HYPERLINK("https://klasma.github.io/Logging_0126/tillsyn/A 17467-2024 tillsynsbegäran.docx", "A 17467-2024")</f>
        <v/>
      </c>
      <c r="Y6">
        <f>HYPERLINK("https://klasma.github.io/Logging_0126/tillsynsmail/A 17467-2024 tillsynsbegäran mail.docx", "A 17467-2024")</f>
        <v/>
      </c>
    </row>
    <row r="7" ht="15" customHeight="1">
      <c r="A7" t="inlineStr">
        <is>
          <t>A 49419-2023</t>
        </is>
      </c>
      <c r="B7" s="1" t="n">
        <v>45211</v>
      </c>
      <c r="C7" s="1" t="n">
        <v>46128</v>
      </c>
      <c r="D7" t="inlineStr">
        <is>
          <t>STOCKHOLMS LÄN</t>
        </is>
      </c>
      <c r="E7" t="inlineStr">
        <is>
          <t>HUDDINGE</t>
        </is>
      </c>
      <c r="F7" t="inlineStr">
        <is>
          <t>Kommuner</t>
        </is>
      </c>
      <c r="G7" t="n">
        <v>1.9</v>
      </c>
      <c r="H7" t="n">
        <v>2</v>
      </c>
      <c r="I7" t="n">
        <v>0</v>
      </c>
      <c r="J7" t="n">
        <v>1</v>
      </c>
      <c r="K7" t="n">
        <v>0</v>
      </c>
      <c r="L7" t="n">
        <v>1</v>
      </c>
      <c r="M7" t="n">
        <v>0</v>
      </c>
      <c r="N7" t="n">
        <v>0</v>
      </c>
      <c r="O7" t="n">
        <v>2</v>
      </c>
      <c r="P7" t="n">
        <v>1</v>
      </c>
      <c r="Q7" t="n">
        <v>2</v>
      </c>
      <c r="R7" s="2" t="inlineStr">
        <is>
          <t>Grönfink
Ärtsångare</t>
        </is>
      </c>
      <c r="S7">
        <f>HYPERLINK("https://klasma.github.io/Logging_0126/artfynd/A 49419-2023 artfynd.xlsx", "A 49419-2023")</f>
        <v/>
      </c>
      <c r="T7">
        <f>HYPERLINK("https://klasma.github.io/Logging_0126/kartor/A 49419-2023 karta.png", "A 49419-2023")</f>
        <v/>
      </c>
      <c r="V7">
        <f>HYPERLINK("https://klasma.github.io/Logging_0126/klagomål/A 49419-2023 FSC-klagomål.docx", "A 49419-2023")</f>
        <v/>
      </c>
      <c r="W7">
        <f>HYPERLINK("https://klasma.github.io/Logging_0126/klagomålsmail/A 49419-2023 FSC-klagomål mail.docx", "A 49419-2023")</f>
        <v/>
      </c>
      <c r="X7">
        <f>HYPERLINK("https://klasma.github.io/Logging_0126/tillsyn/A 49419-2023 tillsynsbegäran.docx", "A 49419-2023")</f>
        <v/>
      </c>
      <c r="Y7">
        <f>HYPERLINK("https://klasma.github.io/Logging_0126/tillsynsmail/A 49419-2023 tillsynsbegäran mail.docx", "A 49419-2023")</f>
        <v/>
      </c>
      <c r="Z7">
        <f>HYPERLINK("https://klasma.github.io/Logging_0126/fåglar/A 49419-2023 prioriterade fågelarter.docx", "A 49419-2023")</f>
        <v/>
      </c>
    </row>
    <row r="8" ht="15" customHeight="1">
      <c r="A8" t="inlineStr">
        <is>
          <t>A 24368-2023</t>
        </is>
      </c>
      <c r="B8" s="1" t="n">
        <v>45076</v>
      </c>
      <c r="C8" s="1" t="n">
        <v>46128</v>
      </c>
      <c r="D8" t="inlineStr">
        <is>
          <t>STOCKHOLMS LÄN</t>
        </is>
      </c>
      <c r="E8" t="inlineStr">
        <is>
          <t>HUDDINGE</t>
        </is>
      </c>
      <c r="G8" t="n">
        <v>3</v>
      </c>
      <c r="H8" t="n">
        <v>1</v>
      </c>
      <c r="I8" t="n">
        <v>1</v>
      </c>
      <c r="J8" t="n">
        <v>0</v>
      </c>
      <c r="K8" t="n">
        <v>0</v>
      </c>
      <c r="L8" t="n">
        <v>0</v>
      </c>
      <c r="M8" t="n">
        <v>0</v>
      </c>
      <c r="N8" t="n">
        <v>0</v>
      </c>
      <c r="O8" t="n">
        <v>0</v>
      </c>
      <c r="P8" t="n">
        <v>0</v>
      </c>
      <c r="Q8" t="n">
        <v>1</v>
      </c>
      <c r="R8" s="2" t="inlineStr">
        <is>
          <t>Plattlummer</t>
        </is>
      </c>
      <c r="S8">
        <f>HYPERLINK("https://klasma.github.io/Logging_0126/artfynd/A 24368-2023 artfynd.xlsx", "A 24368-2023")</f>
        <v/>
      </c>
      <c r="T8">
        <f>HYPERLINK("https://klasma.github.io/Logging_0126/kartor/A 24368-2023 karta.png", "A 24368-2023")</f>
        <v/>
      </c>
      <c r="V8">
        <f>HYPERLINK("https://klasma.github.io/Logging_0126/klagomål/A 24368-2023 FSC-klagomål.docx", "A 24368-2023")</f>
        <v/>
      </c>
      <c r="W8">
        <f>HYPERLINK("https://klasma.github.io/Logging_0126/klagomålsmail/A 24368-2023 FSC-klagomål mail.docx", "A 24368-2023")</f>
        <v/>
      </c>
      <c r="X8">
        <f>HYPERLINK("https://klasma.github.io/Logging_0126/tillsyn/A 24368-2023 tillsynsbegäran.docx", "A 24368-2023")</f>
        <v/>
      </c>
      <c r="Y8">
        <f>HYPERLINK("https://klasma.github.io/Logging_0126/tillsynsmail/A 24368-2023 tillsynsbegäran mail.docx", "A 24368-2023")</f>
        <v/>
      </c>
    </row>
    <row r="9" ht="15" customHeight="1">
      <c r="A9" t="inlineStr">
        <is>
          <t>A 24384-2023</t>
        </is>
      </c>
      <c r="B9" s="1" t="n">
        <v>45076</v>
      </c>
      <c r="C9" s="1" t="n">
        <v>46128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24233-2023</t>
        </is>
      </c>
      <c r="B10" s="1" t="n">
        <v>45076</v>
      </c>
      <c r="C10" s="1" t="n">
        <v>46128</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49421-2023</t>
        </is>
      </c>
      <c r="B11" s="1" t="n">
        <v>45211</v>
      </c>
      <c r="C11" s="1" t="n">
        <v>46128</v>
      </c>
      <c r="D11" t="inlineStr">
        <is>
          <t>STOCKHOLMS LÄN</t>
        </is>
      </c>
      <c r="E11" t="inlineStr">
        <is>
          <t>HUDDINGE</t>
        </is>
      </c>
      <c r="F11" t="inlineStr">
        <is>
          <t>Kommuner</t>
        </is>
      </c>
      <c r="G11" t="n">
        <v>1.4</v>
      </c>
      <c r="H11" t="n">
        <v>1</v>
      </c>
      <c r="I11" t="n">
        <v>0</v>
      </c>
      <c r="J11" t="n">
        <v>0</v>
      </c>
      <c r="K11" t="n">
        <v>0</v>
      </c>
      <c r="L11" t="n">
        <v>1</v>
      </c>
      <c r="M11" t="n">
        <v>0</v>
      </c>
      <c r="N11" t="n">
        <v>0</v>
      </c>
      <c r="O11" t="n">
        <v>1</v>
      </c>
      <c r="P11" t="n">
        <v>1</v>
      </c>
      <c r="Q11" t="n">
        <v>1</v>
      </c>
      <c r="R11" s="2" t="inlineStr">
        <is>
          <t>Grönfink</t>
        </is>
      </c>
      <c r="S11">
        <f>HYPERLINK("https://klasma.github.io/Logging_0126/artfynd/A 49421-2023 artfynd.xlsx", "A 49421-2023")</f>
        <v/>
      </c>
      <c r="T11">
        <f>HYPERLINK("https://klasma.github.io/Logging_0126/kartor/A 49421-2023 karta.png", "A 49421-2023")</f>
        <v/>
      </c>
      <c r="V11">
        <f>HYPERLINK("https://klasma.github.io/Logging_0126/klagomål/A 49421-2023 FSC-klagomål.docx", "A 49421-2023")</f>
        <v/>
      </c>
      <c r="W11">
        <f>HYPERLINK("https://klasma.github.io/Logging_0126/klagomålsmail/A 49421-2023 FSC-klagomål mail.docx", "A 49421-2023")</f>
        <v/>
      </c>
      <c r="X11">
        <f>HYPERLINK("https://klasma.github.io/Logging_0126/tillsyn/A 49421-2023 tillsynsbegäran.docx", "A 49421-2023")</f>
        <v/>
      </c>
      <c r="Y11">
        <f>HYPERLINK("https://klasma.github.io/Logging_0126/tillsynsmail/A 49421-2023 tillsynsbegäran mail.docx", "A 49421-2023")</f>
        <v/>
      </c>
      <c r="Z11">
        <f>HYPERLINK("https://klasma.github.io/Logging_0126/fåglar/A 49421-2023 prioriterade fågelarter.docx", "A 49421-2023")</f>
        <v/>
      </c>
    </row>
    <row r="12" ht="15" customHeight="1">
      <c r="A12" t="inlineStr">
        <is>
          <t>A 491-2026</t>
        </is>
      </c>
      <c r="B12" s="1" t="n">
        <v>46029.42581018519</v>
      </c>
      <c r="C12" s="1" t="n">
        <v>46128</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46128</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32508-2022</t>
        </is>
      </c>
      <c r="B14" s="1" t="n">
        <v>44782</v>
      </c>
      <c r="C14" s="1" t="n">
        <v>46128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24363-2023</t>
        </is>
      </c>
      <c r="B15" s="1" t="n">
        <v>45076</v>
      </c>
      <c r="C15" s="1" t="n">
        <v>46128</v>
      </c>
      <c r="D15" t="inlineStr">
        <is>
          <t>STOCKHOLMS LÄN</t>
        </is>
      </c>
      <c r="E15" t="inlineStr">
        <is>
          <t>HUDDINGE</t>
        </is>
      </c>
      <c r="G15" t="n">
        <v>2.4</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46128</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46128</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46128</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46128</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46128</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46128</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46128</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2026-04-16T10:23:35Z</dcterms:created>
  <dcterms:modified xmlns:dcterms="http://purl.org/dc/terms/" xmlns:xsi="http://www.w3.org/2001/XMLSchema-instance" xsi:type="dcterms:W3CDTF">2026-04-16T10:23:35Z</dcterms:modified>
</cp:coreProperties>
</file>