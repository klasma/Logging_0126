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45646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45646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24365-2023</t>
        </is>
      </c>
      <c r="B4" s="1" t="n">
        <v>45076</v>
      </c>
      <c r="C4" s="1" t="n">
        <v>45646</v>
      </c>
      <c r="D4" t="inlineStr">
        <is>
          <t>STOCKHOLMS LÄN</t>
        </is>
      </c>
      <c r="E4" t="inlineStr">
        <is>
          <t>HUDDINGE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Björksplintborre
Blåmossa
Jättesvampmal</t>
        </is>
      </c>
      <c r="S4">
        <f>HYPERLINK("https://klasma.github.io/Logging_0126/artfynd/A 24365-2023 artfynd.xlsx", "A 24365-2023")</f>
        <v/>
      </c>
      <c r="T4">
        <f>HYPERLINK("https://klasma.github.io/Logging_0126/kartor/A 24365-2023 karta.png", "A 24365-2023")</f>
        <v/>
      </c>
      <c r="V4">
        <f>HYPERLINK("https://klasma.github.io/Logging_0126/klagomål/A 24365-2023 FSC-klagomål.docx", "A 24365-2023")</f>
        <v/>
      </c>
      <c r="W4">
        <f>HYPERLINK("https://klasma.github.io/Logging_0126/klagomålsmail/A 24365-2023 FSC-klagomål mail.docx", "A 24365-2023")</f>
        <v/>
      </c>
      <c r="X4">
        <f>HYPERLINK("https://klasma.github.io/Logging_0126/tillsyn/A 24365-2023 tillsynsbegäran.docx", "A 24365-2023")</f>
        <v/>
      </c>
      <c r="Y4">
        <f>HYPERLINK("https://klasma.github.io/Logging_0126/tillsynsmail/A 24365-2023 tillsynsbegäran mail.docx", "A 24365-2023")</f>
        <v/>
      </c>
    </row>
    <row r="5" ht="15" customHeight="1">
      <c r="A5" t="inlineStr">
        <is>
          <t>A 49418-2023</t>
        </is>
      </c>
      <c r="B5" s="1" t="n">
        <v>45211</v>
      </c>
      <c r="C5" s="1" t="n">
        <v>45646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3.5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Bronshjon
Grovticka
Vedticka
Vågbandad barkbock</t>
        </is>
      </c>
      <c r="S5">
        <f>HYPERLINK("https://klasma.github.io/Logging_0126/artfynd/A 49418-2023 artfynd.xlsx", "A 49418-2023")</f>
        <v/>
      </c>
      <c r="T5">
        <f>HYPERLINK("https://klasma.github.io/Logging_0126/kartor/A 49418-2023 karta.png", "A 49418-2023")</f>
        <v/>
      </c>
      <c r="V5">
        <f>HYPERLINK("https://klasma.github.io/Logging_0126/klagomål/A 49418-2023 FSC-klagomål.docx", "A 49418-2023")</f>
        <v/>
      </c>
      <c r="W5">
        <f>HYPERLINK("https://klasma.github.io/Logging_0126/klagomålsmail/A 49418-2023 FSC-klagomål mail.docx", "A 49418-2023")</f>
        <v/>
      </c>
      <c r="X5">
        <f>HYPERLINK("https://klasma.github.io/Logging_0126/tillsyn/A 49418-2023 tillsynsbegäran.docx", "A 49418-2023")</f>
        <v/>
      </c>
      <c r="Y5">
        <f>HYPERLINK("https://klasma.github.io/Logging_0126/tillsynsmail/A 49418-2023 tillsynsbegäran mail.docx", "A 49418-2023")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45646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45646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45646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45646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58260-2020</t>
        </is>
      </c>
      <c r="B10" s="1" t="n">
        <v>44144</v>
      </c>
      <c r="C10" s="1" t="n">
        <v>45646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9945-2021</t>
        </is>
      </c>
      <c r="B11" s="1" t="n">
        <v>44253</v>
      </c>
      <c r="C11" s="1" t="n">
        <v>45646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31246-2022</t>
        </is>
      </c>
      <c r="B12" s="1" t="n">
        <v>44771</v>
      </c>
      <c r="C12" s="1" t="n">
        <v>45646</v>
      </c>
      <c r="D12" t="inlineStr">
        <is>
          <t>STOCKHOLMS LÄN</t>
        </is>
      </c>
      <c r="E12" t="inlineStr">
        <is>
          <t>HUDDINGE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32508-2022</t>
        </is>
      </c>
      <c r="B13" s="1" t="n">
        <v>44782</v>
      </c>
      <c r="C13" s="1" t="n">
        <v>45646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35404-2022</t>
        </is>
      </c>
      <c r="B14" s="1" t="n">
        <v>44798</v>
      </c>
      <c r="C14" s="1" t="n">
        <v>45646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45646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45646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45646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45646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45646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45646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45646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</v>
      </c>
      <c r="C22" s="1" t="n">
        <v>45646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52259-2024</t>
        </is>
      </c>
      <c r="B23" s="1" t="n">
        <v>45608</v>
      </c>
      <c r="C23" s="1" t="n">
        <v>45646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2024-12-20T15:13:14Z</dcterms:created>
  <dcterms:modified xmlns:dcterms="http://purl.org/dc/terms/" xmlns:xsi="http://www.w3.org/2001/XMLSchema-instance" xsi:type="dcterms:W3CDTF">2024-12-20T15:13:14Z</dcterms:modified>
</cp:coreProperties>
</file>