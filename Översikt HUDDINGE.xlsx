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24262-2023</t>
        </is>
      </c>
      <c r="B8" s="1" t="n">
        <v>45076</v>
      </c>
      <c r="C8" s="1" t="n">
        <v>45881</v>
      </c>
      <c r="D8" t="inlineStr">
        <is>
          <t>STOCKHOLMS LÄN</t>
        </is>
      </c>
      <c r="E8" t="inlineStr">
        <is>
          <t>HUDDINGE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HYPERLINK("https://klasma.github.io/Logging_0126/artfynd/A 24262-2023 artfynd.xlsx", "A 24262-2023")</f>
        <v/>
      </c>
      <c r="T8">
        <f>HYPERLINK("https://klasma.github.io/Logging_0126/kartor/A 24262-2023 karta.png", "A 24262-2023")</f>
        <v/>
      </c>
      <c r="V8">
        <f>HYPERLINK("https://klasma.github.io/Logging_0126/klagomål/A 24262-2023 FSC-klagomål.docx", "A 24262-2023")</f>
        <v/>
      </c>
      <c r="W8">
        <f>HYPERLINK("https://klasma.github.io/Logging_0126/klagomålsmail/A 24262-2023 FSC-klagomål mail.docx", "A 24262-2023")</f>
        <v/>
      </c>
      <c r="X8">
        <f>HYPERLINK("https://klasma.github.io/Logging_0126/tillsyn/A 24262-2023 tillsynsbegäran.docx", "A 24262-2023")</f>
        <v/>
      </c>
      <c r="Y8">
        <f>HYPERLINK("https://klasma.github.io/Logging_0126/tillsynsmail/A 24262-2023 tillsynsbegäran mail.docx", "A 24262-2023")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45881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24368-2023</t>
        </is>
      </c>
      <c r="B10" s="1" t="n">
        <v>45076</v>
      </c>
      <c r="C10" s="1" t="n">
        <v>45881</v>
      </c>
      <c r="D10" t="inlineStr">
        <is>
          <t>STOCKHOLMS LÄN</t>
        </is>
      </c>
      <c r="E10" t="inlineStr">
        <is>
          <t>HUDDINGE</t>
        </is>
      </c>
      <c r="G10" t="n">
        <v>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Plattlummer</t>
        </is>
      </c>
      <c r="S10">
        <f>HYPERLINK("https://klasma.github.io/Logging_0126/artfynd/A 24368-2023 artfynd.xlsx", "A 24368-2023")</f>
        <v/>
      </c>
      <c r="T10">
        <f>HYPERLINK("https://klasma.github.io/Logging_0126/kartor/A 24368-2023 karta.png", "A 24368-2023")</f>
        <v/>
      </c>
      <c r="V10">
        <f>HYPERLINK("https://klasma.github.io/Logging_0126/klagomål/A 24368-2023 FSC-klagomål.docx", "A 24368-2023")</f>
        <v/>
      </c>
      <c r="W10">
        <f>HYPERLINK("https://klasma.github.io/Logging_0126/klagomålsmail/A 24368-2023 FSC-klagomål mail.docx", "A 24368-2023")</f>
        <v/>
      </c>
      <c r="X10">
        <f>HYPERLINK("https://klasma.github.io/Logging_0126/tillsyn/A 24368-2023 tillsynsbegäran.docx", "A 24368-2023")</f>
        <v/>
      </c>
      <c r="Y10">
        <f>HYPERLINK("https://klasma.github.io/Logging_0126/tillsynsmail/A 24368-2023 tillsynsbegäran mail.docx", "A 24368-2023")</f>
        <v/>
      </c>
    </row>
    <row r="11" ht="15" customHeight="1">
      <c r="A11" t="inlineStr">
        <is>
          <t>A 24233-2023</t>
        </is>
      </c>
      <c r="B11" s="1" t="n">
        <v>45076</v>
      </c>
      <c r="C11" s="1" t="n">
        <v>45881</v>
      </c>
      <c r="D11" t="inlineStr">
        <is>
          <t>STOCKHOLMS LÄN</t>
        </is>
      </c>
      <c r="E11" t="inlineStr">
        <is>
          <t>HUDDINGE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taggsvamp</t>
        </is>
      </c>
      <c r="S11">
        <f>HYPERLINK("https://klasma.github.io/Logging_0126/artfynd/A 24233-2023 artfynd.xlsx", "A 24233-2023")</f>
        <v/>
      </c>
      <c r="T11">
        <f>HYPERLINK("https://klasma.github.io/Logging_0126/kartor/A 24233-2023 karta.png", "A 24233-2023")</f>
        <v/>
      </c>
      <c r="V11">
        <f>HYPERLINK("https://klasma.github.io/Logging_0126/klagomål/A 24233-2023 FSC-klagomål.docx", "A 24233-2023")</f>
        <v/>
      </c>
      <c r="W11">
        <f>HYPERLINK("https://klasma.github.io/Logging_0126/klagomålsmail/A 24233-2023 FSC-klagomål mail.docx", "A 24233-2023")</f>
        <v/>
      </c>
      <c r="X11">
        <f>HYPERLINK("https://klasma.github.io/Logging_0126/tillsyn/A 24233-2023 tillsynsbegäran.docx", "A 24233-2023")</f>
        <v/>
      </c>
      <c r="Y11">
        <f>HYPERLINK("https://klasma.github.io/Logging_0126/tillsynsmail/A 24233-2023 tillsynsbegäran mail.docx", "A 24233-2023")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45881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45881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45881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17467-2024</t>
        </is>
      </c>
      <c r="B16" s="1" t="n">
        <v>45415.44597222222</v>
      </c>
      <c r="C16" s="1" t="n">
        <v>45881</v>
      </c>
      <c r="D16" t="inlineStr">
        <is>
          <t>STOCKHOLMS LÄN</t>
        </is>
      </c>
      <c r="E16" t="inlineStr">
        <is>
          <t>HUDDINGE</t>
        </is>
      </c>
      <c r="G16" t="n">
        <v>14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45881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45881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45881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31246-2022</t>
        </is>
      </c>
      <c r="B20" s="1" t="n">
        <v>44771</v>
      </c>
      <c r="C20" s="1" t="n">
        <v>45881</v>
      </c>
      <c r="D20" t="inlineStr">
        <is>
          <t>STOCKHOLMS LÄN</t>
        </is>
      </c>
      <c r="E20" t="inlineStr">
        <is>
          <t>HUDDINGE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45881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45881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35404-2022</t>
        </is>
      </c>
      <c r="B23" s="1" t="n">
        <v>44798</v>
      </c>
      <c r="C23" s="1" t="n">
        <v>45881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2025-08-12T08:23:07Z</dcterms:created>
  <dcterms:modified xmlns:dcterms="http://purl.org/dc/terms/" xmlns:xsi="http://www.w3.org/2001/XMLSchema-instance" xsi:type="dcterms:W3CDTF">2025-08-12T08:23:07Z</dcterms:modified>
</cp:coreProperties>
</file>