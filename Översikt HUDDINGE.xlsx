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46269</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46269</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46269</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46269</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46269</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46269</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46269</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46269</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46269</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46269</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46269</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46269</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46269</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46269</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46269</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46269</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46269</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46269</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31633-2026</t>
        </is>
      </c>
      <c r="B20" t="inlineStr">
        <is>
          <t>avverkningsanmälan</t>
        </is>
      </c>
      <c r="C20" t="inlineStr">
        <is>
          <t>Avverkning för annat ändamål</t>
        </is>
      </c>
      <c r="D20" s="1" t="n">
        <v>46223</v>
      </c>
      <c r="E20" s="1" t="n">
        <v>46269</v>
      </c>
      <c r="F20" t="inlineStr">
        <is>
          <t>STOCKHOLMS LÄN</t>
        </is>
      </c>
      <c r="G20" t="inlineStr">
        <is>
          <t>HUDDINGE</t>
        </is>
      </c>
      <c r="H20" t="inlineStr">
        <is>
          <t>Kommuner</t>
        </is>
      </c>
      <c r="I20" t="n">
        <v>2.5</v>
      </c>
      <c r="J20" t="n">
        <v>1</v>
      </c>
      <c r="K20" t="n">
        <v>0</v>
      </c>
      <c r="L20" t="n">
        <v>0</v>
      </c>
      <c r="M20" t="n">
        <v>0</v>
      </c>
      <c r="N20" t="n">
        <v>0</v>
      </c>
      <c r="O20" t="n">
        <v>0</v>
      </c>
      <c r="P20" t="n">
        <v>0</v>
      </c>
      <c r="Q20" t="n">
        <v>0</v>
      </c>
      <c r="R20" t="n">
        <v>0</v>
      </c>
      <c r="S20" t="n">
        <v>1</v>
      </c>
      <c r="T20" t="n">
        <v>2</v>
      </c>
      <c r="U20" t="n">
        <v>0</v>
      </c>
      <c r="V20" s="2" t="inlineStr">
        <is>
          <t>Kopparödla</t>
        </is>
      </c>
      <c r="W20">
        <f>HYPERLINK("https://klasma.github.io/Logging_0126/artfynd/A 31633-2026 artfynd.xlsx", "A 31633-2026")</f>
        <v/>
      </c>
      <c r="X20">
        <f>HYPERLINK("https://klasma.github.io/Logging_0126/kartor/A 31633-2026 karta.png", "A 31633-2026")</f>
        <v/>
      </c>
      <c r="Y20">
        <f>HYPERLINK("https://klasma.github.io/Logging_0126/kartor_geotiff/A 31633-2026 georefererad karta.tif", "A 31633-2026")</f>
        <v/>
      </c>
      <c r="AA20">
        <f>HYPERLINK("https://klasma.github.io/Logging_0126/klagomål/A 31633-2026 FSC-klagomål.docx", "A 31633-2026")</f>
        <v/>
      </c>
      <c r="AB20">
        <f>HYPERLINK("https://klasma.github.io/Logging_0126/klagomålsmail/A 31633-2026 FSC-klagomål mail.docx", "A 31633-2026")</f>
        <v/>
      </c>
      <c r="AC20">
        <f>HYPERLINK("https://klasma.github.io/Logging_0126/tillsyn/A 31633-2026 tillsynsbegäran.docx", "A 31633-2026")</f>
        <v/>
      </c>
      <c r="AD20">
        <f>HYPERLINK("https://klasma.github.io/Logging_0126/tillsynsmail/A 31633-2026 tillsynsbegäran mail.docx", "A 31633-2026")</f>
        <v/>
      </c>
    </row>
    <row r="21" ht="15" customHeight="1">
      <c r="A21" t="inlineStr">
        <is>
          <t>A 31795-2026</t>
        </is>
      </c>
      <c r="B21" t="inlineStr">
        <is>
          <t>avverkningsanmälan</t>
        </is>
      </c>
      <c r="C21" t="inlineStr">
        <is>
          <t>Avverkning för annat ändamål</t>
        </is>
      </c>
      <c r="D21" s="1" t="n">
        <v>46230</v>
      </c>
      <c r="E21" s="1" t="n">
        <v>46269</v>
      </c>
      <c r="F21" t="inlineStr">
        <is>
          <t>STOCKHOLMS LÄN</t>
        </is>
      </c>
      <c r="G21" t="inlineStr">
        <is>
          <t>HUDDINGE</t>
        </is>
      </c>
      <c r="H21" t="inlineStr">
        <is>
          <t>Kommuner</t>
        </is>
      </c>
      <c r="I21" t="n">
        <v>2.1</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HYPERLINK("https://klasma.github.io/Logging_0126/artfynd/A 31795-2026 artfynd.xlsx", "A 31795-2026")</f>
        <v/>
      </c>
      <c r="X21">
        <f>HYPERLINK("https://klasma.github.io/Logging_0126/kartor/A 31795-2026 karta.png", "A 31795-2026")</f>
        <v/>
      </c>
      <c r="Y21">
        <f>HYPERLINK("https://klasma.github.io/Logging_0126/kartor_geotiff/A 31795-2026 georefererad karta.tif", "A 31795-2026")</f>
        <v/>
      </c>
      <c r="AA21">
        <f>HYPERLINK("https://klasma.github.io/Logging_0126/klagomål/A 31795-2026 FSC-klagomål.docx", "A 31795-2026")</f>
        <v/>
      </c>
      <c r="AB21">
        <f>HYPERLINK("https://klasma.github.io/Logging_0126/klagomålsmail/A 31795-2026 FSC-klagomål mail.docx", "A 31795-2026")</f>
        <v/>
      </c>
      <c r="AC21">
        <f>HYPERLINK("https://klasma.github.io/Logging_0126/tillsyn/A 31795-2026 tillsynsbegäran.docx", "A 31795-2026")</f>
        <v/>
      </c>
      <c r="AD21">
        <f>HYPERLINK("https://klasma.github.io/Logging_0126/tillsynsmail/A 31795-2026 tillsynsbegäran mail.docx", "A 31795-2026")</f>
        <v/>
      </c>
    </row>
    <row r="22" ht="15" customHeight="1">
      <c r="A22" t="inlineStr">
        <is>
          <t>A 24262-2023</t>
        </is>
      </c>
      <c r="B22" t="inlineStr">
        <is>
          <t>avverkningsanmälan</t>
        </is>
      </c>
      <c r="C22" t="inlineStr">
        <is>
          <t>Föryngringsavverkning</t>
        </is>
      </c>
      <c r="D22" s="1" t="n">
        <v>45076</v>
      </c>
      <c r="E22" s="1" t="n">
        <v>46269</v>
      </c>
      <c r="F22" t="inlineStr">
        <is>
          <t>STOCKHOLMS LÄN</t>
        </is>
      </c>
      <c r="G22" t="inlineStr">
        <is>
          <t>HUDDINGE</t>
        </is>
      </c>
      <c r="I22" t="n">
        <v>2.5</v>
      </c>
      <c r="J22" t="n">
        <v>0</v>
      </c>
      <c r="K22" t="n">
        <v>1</v>
      </c>
      <c r="L22" t="n">
        <v>0</v>
      </c>
      <c r="M22" t="n">
        <v>0</v>
      </c>
      <c r="N22" t="n">
        <v>0</v>
      </c>
      <c r="O22" t="n">
        <v>0</v>
      </c>
      <c r="P22" t="n">
        <v>0</v>
      </c>
      <c r="Q22" t="n">
        <v>0</v>
      </c>
      <c r="R22" t="n">
        <v>0</v>
      </c>
      <c r="S22" t="n">
        <v>1</v>
      </c>
      <c r="T22" t="n">
        <v>1</v>
      </c>
      <c r="U22" t="n">
        <v>1</v>
      </c>
      <c r="V22" s="2" t="inlineStr">
        <is>
          <t>Tibast</t>
        </is>
      </c>
      <c r="W22">
        <f>HYPERLINK("https://klasma.github.io/Logging_0126/artfynd/A 24262-2023 artfynd.xlsx", "A 24262-2023")</f>
        <v/>
      </c>
      <c r="X22">
        <f>HYPERLINK("https://klasma.github.io/Logging_0126/kartor/A 24262-2023 karta.png", "A 24262-2023")</f>
        <v/>
      </c>
      <c r="Y22">
        <f>HYPERLINK("https://klasma.github.io/Logging_0126/kartor_geotiff/A 24262-2023 georefererad karta.tif", "A 24262-2023")</f>
        <v/>
      </c>
      <c r="AA22">
        <f>HYPERLINK("https://klasma.github.io/Logging_0126/klagomål/A 24262-2023 FSC-klagomål.docx", "A 24262-2023")</f>
        <v/>
      </c>
      <c r="AB22">
        <f>HYPERLINK("https://klasma.github.io/Logging_0126/klagomålsmail/A 24262-2023 FSC-klagomål mail.docx", "A 24262-2023")</f>
        <v/>
      </c>
      <c r="AC22">
        <f>HYPERLINK("https://klasma.github.io/Logging_0126/tillsyn/A 24262-2023 tillsynsbegäran.docx", "A 24262-2023")</f>
        <v/>
      </c>
      <c r="AD22">
        <f>HYPERLINK("https://klasma.github.io/Logging_0126/tillsynsmail/A 24262-2023 tillsynsbegäran mail.docx", "A 24262-2023")</f>
        <v/>
      </c>
    </row>
    <row r="23" ht="15" customHeight="1">
      <c r="A23" t="inlineStr">
        <is>
          <t>A 31514-2026</t>
        </is>
      </c>
      <c r="B23" t="inlineStr">
        <is>
          <t>avverkningsanmälan</t>
        </is>
      </c>
      <c r="C23" t="inlineStr">
        <is>
          <t>Avverkning för annat ändamål</t>
        </is>
      </c>
      <c r="D23" s="1" t="n">
        <v>46223</v>
      </c>
      <c r="E23" s="1" t="n">
        <v>46269</v>
      </c>
      <c r="F23" t="inlineStr">
        <is>
          <t>STOCKHOLMS LÄN</t>
        </is>
      </c>
      <c r="G23" t="inlineStr">
        <is>
          <t>HUDDINGE</t>
        </is>
      </c>
      <c r="H23" t="inlineStr">
        <is>
          <t>Kommuner</t>
        </is>
      </c>
      <c r="I23" t="n">
        <v>1</v>
      </c>
      <c r="J23" t="n">
        <v>0</v>
      </c>
      <c r="K23" t="n">
        <v>1</v>
      </c>
      <c r="L23" t="n">
        <v>0</v>
      </c>
      <c r="M23" t="n">
        <v>0</v>
      </c>
      <c r="N23" t="n">
        <v>0</v>
      </c>
      <c r="O23" t="n">
        <v>0</v>
      </c>
      <c r="P23" t="n">
        <v>0</v>
      </c>
      <c r="Q23" t="n">
        <v>0</v>
      </c>
      <c r="R23" t="n">
        <v>0</v>
      </c>
      <c r="S23" t="n">
        <v>1</v>
      </c>
      <c r="T23" t="n">
        <v>2</v>
      </c>
      <c r="U23" t="n">
        <v>0</v>
      </c>
      <c r="V23" s="2" t="inlineStr">
        <is>
          <t>Tibast</t>
        </is>
      </c>
      <c r="W23">
        <f>HYPERLINK("https://klasma.github.io/Logging_0126/artfynd/A 31514-2026 artfynd.xlsx", "A 31514-2026")</f>
        <v/>
      </c>
      <c r="X23">
        <f>HYPERLINK("https://klasma.github.io/Logging_0126/kartor/A 31514-2026 karta.png", "A 31514-2026")</f>
        <v/>
      </c>
      <c r="Y23">
        <f>HYPERLINK("https://klasma.github.io/Logging_0126/kartor_geotiff/A 31514-2026 georefererad karta.tif", "A 31514-2026")</f>
        <v/>
      </c>
      <c r="AA23">
        <f>HYPERLINK("https://klasma.github.io/Logging_0126/klagomål/A 31514-2026 FSC-klagomål.docx", "A 31514-2026")</f>
        <v/>
      </c>
      <c r="AB23">
        <f>HYPERLINK("https://klasma.github.io/Logging_0126/klagomålsmail/A 31514-2026 FSC-klagomål mail.docx", "A 31514-2026")</f>
        <v/>
      </c>
      <c r="AC23">
        <f>HYPERLINK("https://klasma.github.io/Logging_0126/tillsyn/A 31514-2026 tillsynsbegäran.docx", "A 31514-2026")</f>
        <v/>
      </c>
      <c r="AD23">
        <f>HYPERLINK("https://klasma.github.io/Logging_0126/tillsynsmail/A 31514-2026 tillsynsbegäran mail.docx", "A 31514-2026")</f>
        <v/>
      </c>
    </row>
    <row r="24" ht="15" customHeight="1">
      <c r="A24" t="inlineStr">
        <is>
          <t>A 31568-2026</t>
        </is>
      </c>
      <c r="B24" t="inlineStr">
        <is>
          <t>avverkningsanmälan</t>
        </is>
      </c>
      <c r="C24" t="inlineStr">
        <is>
          <t>Avverkning för annat ändamål</t>
        </is>
      </c>
      <c r="D24" s="1" t="n">
        <v>46223</v>
      </c>
      <c r="E24" s="1" t="n">
        <v>46269</v>
      </c>
      <c r="F24" t="inlineStr">
        <is>
          <t>STOCKHOLMS LÄN</t>
        </is>
      </c>
      <c r="G24" t="inlineStr">
        <is>
          <t>HUDDINGE</t>
        </is>
      </c>
      <c r="H24" t="inlineStr">
        <is>
          <t>Kommuner</t>
        </is>
      </c>
      <c r="I24" t="n">
        <v>0.2</v>
      </c>
      <c r="J24" t="n">
        <v>1</v>
      </c>
      <c r="K24" t="n">
        <v>0</v>
      </c>
      <c r="L24" t="n">
        <v>0</v>
      </c>
      <c r="M24" t="n">
        <v>0</v>
      </c>
      <c r="N24" t="n">
        <v>0</v>
      </c>
      <c r="O24" t="n">
        <v>0</v>
      </c>
      <c r="P24" t="n">
        <v>0</v>
      </c>
      <c r="Q24" t="n">
        <v>0</v>
      </c>
      <c r="R24" t="n">
        <v>0</v>
      </c>
      <c r="S24" t="n">
        <v>1</v>
      </c>
      <c r="T24" t="n">
        <v>1</v>
      </c>
      <c r="U24" t="n">
        <v>0</v>
      </c>
      <c r="V24" s="2" t="inlineStr">
        <is>
          <t>Skogsödla</t>
        </is>
      </c>
      <c r="W24">
        <f>HYPERLINK("https://klasma.github.io/Logging_0126/artfynd/A 31568-2026 artfynd.xlsx", "A 31568-2026")</f>
        <v/>
      </c>
      <c r="X24">
        <f>HYPERLINK("https://klasma.github.io/Logging_0126/kartor/A 31568-2026 karta.png", "A 31568-2026")</f>
        <v/>
      </c>
      <c r="Y24">
        <f>HYPERLINK("https://klasma.github.io/Logging_0126/kartor_geotiff/A 31568-2026 georefererad karta.tif", "A 31568-2026")</f>
        <v/>
      </c>
      <c r="AA24">
        <f>HYPERLINK("https://klasma.github.io/Logging_0126/klagomål/A 31568-2026 FSC-klagomål.docx", "A 31568-2026")</f>
        <v/>
      </c>
      <c r="AB24">
        <f>HYPERLINK("https://klasma.github.io/Logging_0126/klagomålsmail/A 31568-2026 FSC-klagomål mail.docx", "A 31568-2026")</f>
        <v/>
      </c>
      <c r="AC24">
        <f>HYPERLINK("https://klasma.github.io/Logging_0126/tillsyn/A 31568-2026 tillsynsbegäran.docx", "A 31568-2026")</f>
        <v/>
      </c>
      <c r="AD24">
        <f>HYPERLINK("https://klasma.github.io/Logging_0126/tillsynsmail/A 31568-2026 tillsynsbegäran mail.docx", "A 31568-2026")</f>
        <v/>
      </c>
    </row>
    <row r="25" ht="15" customHeight="1">
      <c r="A25" t="inlineStr">
        <is>
          <t>A 24233-2023</t>
        </is>
      </c>
      <c r="B25" t="inlineStr">
        <is>
          <t>avverkningsanmälan</t>
        </is>
      </c>
      <c r="C25" t="inlineStr">
        <is>
          <t>Föryngringsavverkning</t>
        </is>
      </c>
      <c r="D25" s="1" t="n">
        <v>45076</v>
      </c>
      <c r="E25" s="1" t="n">
        <v>46269</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46269</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46269</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46269</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35404-2022</t>
        </is>
      </c>
      <c r="B29" t="inlineStr">
        <is>
          <t>avverkningsanmälan</t>
        </is>
      </c>
      <c r="C29" t="inlineStr">
        <is>
          <t>Föryngringsavverkning</t>
        </is>
      </c>
      <c r="D29" s="1" t="n">
        <v>44798</v>
      </c>
      <c r="E29" s="1" t="n">
        <v>46269</v>
      </c>
      <c r="F29" t="inlineStr">
        <is>
          <t>STOCKHOLMS LÄN</t>
        </is>
      </c>
      <c r="G29" t="inlineStr">
        <is>
          <t>HUDDINGE</t>
        </is>
      </c>
      <c r="H29" t="inlineStr">
        <is>
          <t>Kommuner</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46269</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46269</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46269</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2026-09-04T02:07:28Z</dcterms:created>
  <dcterms:modified xmlns:dcterms="http://purl.org/dc/terms/" xmlns:xsi="http://www.w3.org/2001/XMLSchema-instance" xsi:type="dcterms:W3CDTF">2026-09-04T02:07:28Z</dcterms:modified>
</cp:coreProperties>
</file>