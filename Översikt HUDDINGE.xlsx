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46084</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46084</v>
      </c>
      <c r="D3" t="inlineStr">
        <is>
          <t>STOCKHOLMS LÄN</t>
        </is>
      </c>
      <c r="E3" t="inlineStr">
        <is>
          <t>HUDDINGE</t>
        </is>
      </c>
      <c r="G3" t="n">
        <v>7.3</v>
      </c>
      <c r="H3" t="n">
        <v>1</v>
      </c>
      <c r="I3" t="n">
        <v>5</v>
      </c>
      <c r="J3" t="n">
        <v>3</v>
      </c>
      <c r="K3" t="n">
        <v>0</v>
      </c>
      <c r="L3" t="n">
        <v>0</v>
      </c>
      <c r="M3" t="n">
        <v>0</v>
      </c>
      <c r="N3" t="n">
        <v>0</v>
      </c>
      <c r="O3" t="n">
        <v>3</v>
      </c>
      <c r="P3" t="n">
        <v>0</v>
      </c>
      <c r="Q3" t="n">
        <v>9</v>
      </c>
      <c r="R3" s="2" t="inlineStr">
        <is>
          <t>Motaggsvamp
Tallticka
Ullticka
Björksplintborre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row>
    <row r="4" ht="15" customHeight="1">
      <c r="A4" t="inlineStr">
        <is>
          <t>A 52259-2024</t>
        </is>
      </c>
      <c r="B4" s="1" t="n">
        <v>45608.6471875</v>
      </c>
      <c r="C4" s="1" t="n">
        <v>46084</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46084</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46084</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46084</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46084</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491-2026</t>
        </is>
      </c>
      <c r="B9" s="1" t="n">
        <v>46029.42581018519</v>
      </c>
      <c r="C9" s="1" t="n">
        <v>46084</v>
      </c>
      <c r="D9" t="inlineStr">
        <is>
          <t>STOCKHOLMS LÄN</t>
        </is>
      </c>
      <c r="E9" t="inlineStr">
        <is>
          <t>HUDDINGE</t>
        </is>
      </c>
      <c r="G9" t="n">
        <v>3.2</v>
      </c>
      <c r="H9" t="n">
        <v>1</v>
      </c>
      <c r="I9" t="n">
        <v>0</v>
      </c>
      <c r="J9" t="n">
        <v>0</v>
      </c>
      <c r="K9" t="n">
        <v>0</v>
      </c>
      <c r="L9" t="n">
        <v>0</v>
      </c>
      <c r="M9" t="n">
        <v>0</v>
      </c>
      <c r="N9" t="n">
        <v>0</v>
      </c>
      <c r="O9" t="n">
        <v>0</v>
      </c>
      <c r="P9" t="n">
        <v>0</v>
      </c>
      <c r="Q9" t="n">
        <v>1</v>
      </c>
      <c r="R9" s="2" t="inlineStr">
        <is>
          <t>Blåsippa</t>
        </is>
      </c>
      <c r="S9">
        <f>HYPERLINK("https://klasma.github.io/Logging_0126/artfynd/A 491-2026 artfynd.xlsx", "A 491-2026")</f>
        <v/>
      </c>
      <c r="T9">
        <f>HYPERLINK("https://klasma.github.io/Logging_0126/kartor/A 491-2026 karta.png", "A 491-2026")</f>
        <v/>
      </c>
      <c r="V9">
        <f>HYPERLINK("https://klasma.github.io/Logging_0126/klagomål/A 491-2026 FSC-klagomål.docx", "A 491-2026")</f>
        <v/>
      </c>
      <c r="W9">
        <f>HYPERLINK("https://klasma.github.io/Logging_0126/klagomålsmail/A 491-2026 FSC-klagomål mail.docx", "A 491-2026")</f>
        <v/>
      </c>
      <c r="X9">
        <f>HYPERLINK("https://klasma.github.io/Logging_0126/tillsyn/A 491-2026 tillsynsbegäran.docx", "A 491-2026")</f>
        <v/>
      </c>
      <c r="Y9">
        <f>HYPERLINK("https://klasma.github.io/Logging_0126/tillsynsmail/A 491-2026 tillsynsbegäran mail.docx", "A 491-2026")</f>
        <v/>
      </c>
    </row>
    <row r="10" ht="15" customHeight="1">
      <c r="A10" t="inlineStr">
        <is>
          <t>A 24233-2023</t>
        </is>
      </c>
      <c r="B10" s="1" t="n">
        <v>45076</v>
      </c>
      <c r="C10" s="1" t="n">
        <v>46084</v>
      </c>
      <c r="D10" t="inlineStr">
        <is>
          <t>STOCKHOLMS LÄN</t>
        </is>
      </c>
      <c r="E10" t="inlineStr">
        <is>
          <t>HUDDINGE</t>
        </is>
      </c>
      <c r="G10" t="n">
        <v>3.7</v>
      </c>
      <c r="H10" t="n">
        <v>0</v>
      </c>
      <c r="I10" t="n">
        <v>0</v>
      </c>
      <c r="J10" t="n">
        <v>1</v>
      </c>
      <c r="K10" t="n">
        <v>0</v>
      </c>
      <c r="L10" t="n">
        <v>0</v>
      </c>
      <c r="M10" t="n">
        <v>0</v>
      </c>
      <c r="N10" t="n">
        <v>0</v>
      </c>
      <c r="O10" t="n">
        <v>1</v>
      </c>
      <c r="P10" t="n">
        <v>0</v>
      </c>
      <c r="Q10" t="n">
        <v>1</v>
      </c>
      <c r="R10" s="2" t="inlineStr">
        <is>
          <t>Svartvit taggsvamp</t>
        </is>
      </c>
      <c r="S10">
        <f>HYPERLINK("https://klasma.github.io/Logging_0126/artfynd/A 24233-2023 artfynd.xlsx", "A 24233-2023")</f>
        <v/>
      </c>
      <c r="T10">
        <f>HYPERLINK("https://klasma.github.io/Logging_0126/kartor/A 24233-2023 karta.png", "A 24233-2023")</f>
        <v/>
      </c>
      <c r="V10">
        <f>HYPERLINK("https://klasma.github.io/Logging_0126/klagomål/A 24233-2023 FSC-klagomål.docx", "A 24233-2023")</f>
        <v/>
      </c>
      <c r="W10">
        <f>HYPERLINK("https://klasma.github.io/Logging_0126/klagomålsmail/A 24233-2023 FSC-klagomål mail.docx", "A 24233-2023")</f>
        <v/>
      </c>
      <c r="X10">
        <f>HYPERLINK("https://klasma.github.io/Logging_0126/tillsyn/A 24233-2023 tillsynsbegäran.docx", "A 24233-2023")</f>
        <v/>
      </c>
      <c r="Y10">
        <f>HYPERLINK("https://klasma.github.io/Logging_0126/tillsynsmail/A 24233-2023 tillsynsbegäran mail.docx", "A 24233-2023")</f>
        <v/>
      </c>
    </row>
    <row r="11" ht="15" customHeight="1">
      <c r="A11" t="inlineStr">
        <is>
          <t>A 24384-2023</t>
        </is>
      </c>
      <c r="B11" s="1" t="n">
        <v>45076</v>
      </c>
      <c r="C11" s="1" t="n">
        <v>46084</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24262-2023</t>
        </is>
      </c>
      <c r="B12" s="1" t="n">
        <v>45076</v>
      </c>
      <c r="C12" s="1" t="n">
        <v>46084</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24368-2023</t>
        </is>
      </c>
      <c r="B13" s="1" t="n">
        <v>45076</v>
      </c>
      <c r="C13" s="1" t="n">
        <v>46084</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32508-2022</t>
        </is>
      </c>
      <c r="B14" s="1" t="n">
        <v>44782</v>
      </c>
      <c r="C14" s="1" t="n">
        <v>46084</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46084</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46084</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47173-2022</t>
        </is>
      </c>
      <c r="B17" s="1" t="n">
        <v>44852</v>
      </c>
      <c r="C17" s="1" t="n">
        <v>46084</v>
      </c>
      <c r="D17" t="inlineStr">
        <is>
          <t>STOCKHOLMS LÄN</t>
        </is>
      </c>
      <c r="E17" t="inlineStr">
        <is>
          <t>HUDDINGE</t>
        </is>
      </c>
      <c r="G17" t="n">
        <v>1.9</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46084</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27589-2025</t>
        </is>
      </c>
      <c r="B19" s="1" t="n">
        <v>45813.51070601852</v>
      </c>
      <c r="C19" s="1" t="n">
        <v>46084</v>
      </c>
      <c r="D19" t="inlineStr">
        <is>
          <t>STOCKHOLMS LÄN</t>
        </is>
      </c>
      <c r="E19" t="inlineStr">
        <is>
          <t>HUDDINGE</t>
        </is>
      </c>
      <c r="G19" t="n">
        <v>2.7</v>
      </c>
      <c r="H19" t="n">
        <v>0</v>
      </c>
      <c r="I19" t="n">
        <v>0</v>
      </c>
      <c r="J19" t="n">
        <v>0</v>
      </c>
      <c r="K19" t="n">
        <v>0</v>
      </c>
      <c r="L19" t="n">
        <v>0</v>
      </c>
      <c r="M19" t="n">
        <v>0</v>
      </c>
      <c r="N19" t="n">
        <v>0</v>
      </c>
      <c r="O19" t="n">
        <v>0</v>
      </c>
      <c r="P19" t="n">
        <v>0</v>
      </c>
      <c r="Q19" t="n">
        <v>0</v>
      </c>
      <c r="R19" s="2" t="inlineStr"/>
    </row>
    <row r="20" ht="15" customHeight="1">
      <c r="A20" t="inlineStr">
        <is>
          <t>A 35404-2022</t>
        </is>
      </c>
      <c r="B20" s="1" t="n">
        <v>44798</v>
      </c>
      <c r="C20" s="1" t="n">
        <v>46084</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46084</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24363-2023</t>
        </is>
      </c>
      <c r="B22" s="1" t="n">
        <v>45076</v>
      </c>
      <c r="C22" s="1" t="n">
        <v>46084</v>
      </c>
      <c r="D22" t="inlineStr">
        <is>
          <t>STOCKHOLMS LÄN</t>
        </is>
      </c>
      <c r="E22" t="inlineStr">
        <is>
          <t>HUDDINGE</t>
        </is>
      </c>
      <c r="G22" t="n">
        <v>2.4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2026-03-03T11:12:25Z</dcterms:created>
  <dcterms:modified xmlns:dcterms="http://purl.org/dc/terms/" xmlns:xsi="http://www.w3.org/2001/XMLSchema-instance" xsi:type="dcterms:W3CDTF">2026-03-03T11:12:25Z</dcterms:modified>
</cp:coreProperties>
</file>