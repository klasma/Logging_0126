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45918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45918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52259-2024</t>
        </is>
      </c>
      <c r="B4" s="1" t="n">
        <v>45608.6471875</v>
      </c>
      <c r="C4" s="1" t="n">
        <v>45918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11.8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Svartvit flugsnappare
Dvärgpipistrell
Grönsiska
Större brunfladdermus</t>
        </is>
      </c>
      <c r="S4">
        <f>HYPERLINK("https://klasma.github.io/Logging_0126/artfynd/A 52259-2024 artfynd.xlsx", "A 52259-2024")</f>
        <v/>
      </c>
      <c r="T4">
        <f>HYPERLINK("https://klasma.github.io/Logging_0126/kartor/A 52259-2024 karta.png", "A 52259-2024")</f>
        <v/>
      </c>
      <c r="V4">
        <f>HYPERLINK("https://klasma.github.io/Logging_0126/klagomål/A 52259-2024 FSC-klagomål.docx", "A 52259-2024")</f>
        <v/>
      </c>
      <c r="W4">
        <f>HYPERLINK("https://klasma.github.io/Logging_0126/klagomålsmail/A 52259-2024 FSC-klagomål mail.docx", "A 52259-2024")</f>
        <v/>
      </c>
      <c r="X4">
        <f>HYPERLINK("https://klasma.github.io/Logging_0126/tillsyn/A 52259-2024 tillsynsbegäran.docx", "A 52259-2024")</f>
        <v/>
      </c>
      <c r="Y4">
        <f>HYPERLINK("https://klasma.github.io/Logging_0126/tillsynsmail/A 52259-2024 tillsynsbegäran mail.docx", "A 52259-2024")</f>
        <v/>
      </c>
      <c r="Z4">
        <f>HYPERLINK("https://klasma.github.io/Logging_0126/fåglar/A 52259-2024 prioriterade fågelarter.docx", "A 52259-2024")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45918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49419-2023</t>
        </is>
      </c>
      <c r="B6" s="1" t="n">
        <v>45211</v>
      </c>
      <c r="C6" s="1" t="n">
        <v>45918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1.9</v>
      </c>
      <c r="H6" t="n">
        <v>2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Grönfink
Ärtsångare</t>
        </is>
      </c>
      <c r="S6">
        <f>HYPERLINK("https://klasma.github.io/Logging_0126/artfynd/A 49419-2023 artfynd.xlsx", "A 49419-2023")</f>
        <v/>
      </c>
      <c r="T6">
        <f>HYPERLINK("https://klasma.github.io/Logging_0126/kartor/A 49419-2023 karta.png", "A 49419-2023")</f>
        <v/>
      </c>
      <c r="V6">
        <f>HYPERLINK("https://klasma.github.io/Logging_0126/klagomål/A 49419-2023 FSC-klagomål.docx", "A 49419-2023")</f>
        <v/>
      </c>
      <c r="W6">
        <f>HYPERLINK("https://klasma.github.io/Logging_0126/klagomålsmail/A 49419-2023 FSC-klagomål mail.docx", "A 49419-2023")</f>
        <v/>
      </c>
      <c r="X6">
        <f>HYPERLINK("https://klasma.github.io/Logging_0126/tillsyn/A 49419-2023 tillsynsbegäran.docx", "A 49419-2023")</f>
        <v/>
      </c>
      <c r="Y6">
        <f>HYPERLINK("https://klasma.github.io/Logging_0126/tillsynsmail/A 49419-2023 tillsynsbegäran mail.docx", "A 49419-2023")</f>
        <v/>
      </c>
      <c r="Z6">
        <f>HYPERLINK("https://klasma.github.io/Logging_0126/fåglar/A 49419-2023 prioriterade fågelarter.docx", "A 49419-2023")</f>
        <v/>
      </c>
    </row>
    <row r="7" ht="15" customHeight="1">
      <c r="A7" t="inlineStr">
        <is>
          <t>A 40110-2025</t>
        </is>
      </c>
      <c r="B7" s="1" t="n">
        <v>45894.49097222222</v>
      </c>
      <c r="C7" s="1" t="n">
        <v>45918</v>
      </c>
      <c r="D7" t="inlineStr">
        <is>
          <t>STOCKHOLMS LÄN</t>
        </is>
      </c>
      <c r="E7" t="inlineStr">
        <is>
          <t>HUDDINGE</t>
        </is>
      </c>
      <c r="G7" t="n">
        <v>21.4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Orange taggsvamp
Fjällig taggsvamp s.str.</t>
        </is>
      </c>
      <c r="S7">
        <f>HYPERLINK("https://klasma.github.io/Logging_0126/artfynd/A 40110-2025 artfynd.xlsx", "A 40110-2025")</f>
        <v/>
      </c>
      <c r="T7">
        <f>HYPERLINK("https://klasma.github.io/Logging_0126/kartor/A 40110-2025 karta.png", "A 40110-2025")</f>
        <v/>
      </c>
      <c r="V7">
        <f>HYPERLINK("https://klasma.github.io/Logging_0126/klagomål/A 40110-2025 FSC-klagomål.docx", "A 40110-2025")</f>
        <v/>
      </c>
      <c r="W7">
        <f>HYPERLINK("https://klasma.github.io/Logging_0126/klagomålsmail/A 40110-2025 FSC-klagomål mail.docx", "A 40110-2025")</f>
        <v/>
      </c>
      <c r="X7">
        <f>HYPERLINK("https://klasma.github.io/Logging_0126/tillsyn/A 40110-2025 tillsynsbegäran.docx", "A 40110-2025")</f>
        <v/>
      </c>
      <c r="Y7">
        <f>HYPERLINK("https://klasma.github.io/Logging_0126/tillsynsmail/A 40110-2025 tillsynsbegäran mail.docx", "A 40110-2025")</f>
        <v/>
      </c>
    </row>
    <row r="8" ht="15" customHeight="1">
      <c r="A8" t="inlineStr">
        <is>
          <t>A 9945-2021</t>
        </is>
      </c>
      <c r="B8" s="1" t="n">
        <v>44253</v>
      </c>
      <c r="C8" s="1" t="n">
        <v>45918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Nattskärra</t>
        </is>
      </c>
      <c r="S8">
        <f>HYPERLINK("https://klasma.github.io/Logging_0126/artfynd/A 9945-2021 artfynd.xlsx", "A 9945-2021")</f>
        <v/>
      </c>
      <c r="T8">
        <f>HYPERLINK("https://klasma.github.io/Logging_0126/kartor/A 9945-2021 karta.png", "A 9945-2021")</f>
        <v/>
      </c>
      <c r="V8">
        <f>HYPERLINK("https://klasma.github.io/Logging_0126/klagomål/A 9945-2021 FSC-klagomål.docx", "A 9945-2021")</f>
        <v/>
      </c>
      <c r="W8">
        <f>HYPERLINK("https://klasma.github.io/Logging_0126/klagomålsmail/A 9945-2021 FSC-klagomål mail.docx", "A 9945-2021")</f>
        <v/>
      </c>
      <c r="X8">
        <f>HYPERLINK("https://klasma.github.io/Logging_0126/tillsyn/A 9945-2021 tillsynsbegäran.docx", "A 9945-2021")</f>
        <v/>
      </c>
      <c r="Y8">
        <f>HYPERLINK("https://klasma.github.io/Logging_0126/tillsynsmail/A 9945-2021 tillsynsbegäran mail.docx", "A 9945-2021")</f>
        <v/>
      </c>
      <c r="Z8">
        <f>HYPERLINK("https://klasma.github.io/Logging_0126/fåglar/A 9945-2021 prioriterade fågelarter.docx", "A 9945-2021")</f>
        <v/>
      </c>
    </row>
    <row r="9" ht="15" customHeight="1">
      <c r="A9" t="inlineStr">
        <is>
          <t>A 24384-2023</t>
        </is>
      </c>
      <c r="B9" s="1" t="n">
        <v>45076</v>
      </c>
      <c r="C9" s="1" t="n">
        <v>45918</v>
      </c>
      <c r="D9" t="inlineStr">
        <is>
          <t>STOCKHOLMS LÄN</t>
        </is>
      </c>
      <c r="E9" t="inlineStr">
        <is>
          <t>HUDDINGE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Kolflarnlav</t>
        </is>
      </c>
      <c r="S9">
        <f>HYPERLINK("https://klasma.github.io/Logging_0126/artfynd/A 24384-2023 artfynd.xlsx", "A 24384-2023")</f>
        <v/>
      </c>
      <c r="T9">
        <f>HYPERLINK("https://klasma.github.io/Logging_0126/kartor/A 24384-2023 karta.png", "A 24384-2023")</f>
        <v/>
      </c>
      <c r="V9">
        <f>HYPERLINK("https://klasma.github.io/Logging_0126/klagomål/A 24384-2023 FSC-klagomål.docx", "A 24384-2023")</f>
        <v/>
      </c>
      <c r="W9">
        <f>HYPERLINK("https://klasma.github.io/Logging_0126/klagomålsmail/A 24384-2023 FSC-klagomål mail.docx", "A 24384-2023")</f>
        <v/>
      </c>
      <c r="X9">
        <f>HYPERLINK("https://klasma.github.io/Logging_0126/tillsyn/A 24384-2023 tillsynsbegäran.docx", "A 24384-2023")</f>
        <v/>
      </c>
      <c r="Y9">
        <f>HYPERLINK("https://klasma.github.io/Logging_0126/tillsynsmail/A 24384-2023 tillsynsbegäran mail.docx", "A 24384-2023")</f>
        <v/>
      </c>
    </row>
    <row r="10" ht="15" customHeight="1">
      <c r="A10" t="inlineStr">
        <is>
          <t>A 24262-2023</t>
        </is>
      </c>
      <c r="B10" s="1" t="n">
        <v>45076</v>
      </c>
      <c r="C10" s="1" t="n">
        <v>45918</v>
      </c>
      <c r="D10" t="inlineStr">
        <is>
          <t>STOCKHOLMS LÄN</t>
        </is>
      </c>
      <c r="E10" t="inlineStr">
        <is>
          <t>HUDDINGE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HYPERLINK("https://klasma.github.io/Logging_0126/artfynd/A 24262-2023 artfynd.xlsx", "A 24262-2023")</f>
        <v/>
      </c>
      <c r="T10">
        <f>HYPERLINK("https://klasma.github.io/Logging_0126/kartor/A 24262-2023 karta.png", "A 24262-2023")</f>
        <v/>
      </c>
      <c r="V10">
        <f>HYPERLINK("https://klasma.github.io/Logging_0126/klagomål/A 24262-2023 FSC-klagomål.docx", "A 24262-2023")</f>
        <v/>
      </c>
      <c r="W10">
        <f>HYPERLINK("https://klasma.github.io/Logging_0126/klagomålsmail/A 24262-2023 FSC-klagomål mail.docx", "A 24262-2023")</f>
        <v/>
      </c>
      <c r="X10">
        <f>HYPERLINK("https://klasma.github.io/Logging_0126/tillsyn/A 24262-2023 tillsynsbegäran.docx", "A 24262-2023")</f>
        <v/>
      </c>
      <c r="Y10">
        <f>HYPERLINK("https://klasma.github.io/Logging_0126/tillsynsmail/A 24262-2023 tillsynsbegäran mail.docx", "A 24262-2023")</f>
        <v/>
      </c>
    </row>
    <row r="11" ht="15" customHeight="1">
      <c r="A11" t="inlineStr">
        <is>
          <t>A 49421-2023</t>
        </is>
      </c>
      <c r="B11" s="1" t="n">
        <v>45211</v>
      </c>
      <c r="C11" s="1" t="n">
        <v>45918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HYPERLINK("https://klasma.github.io/Logging_0126/artfynd/A 49421-2023 artfynd.xlsx", "A 49421-2023")</f>
        <v/>
      </c>
      <c r="T11">
        <f>HYPERLINK("https://klasma.github.io/Logging_0126/kartor/A 49421-2023 karta.png", "A 49421-2023")</f>
        <v/>
      </c>
      <c r="V11">
        <f>HYPERLINK("https://klasma.github.io/Logging_0126/klagomål/A 49421-2023 FSC-klagomål.docx", "A 49421-2023")</f>
        <v/>
      </c>
      <c r="W11">
        <f>HYPERLINK("https://klasma.github.io/Logging_0126/klagomålsmail/A 49421-2023 FSC-klagomål mail.docx", "A 49421-2023")</f>
        <v/>
      </c>
      <c r="X11">
        <f>HYPERLINK("https://klasma.github.io/Logging_0126/tillsyn/A 49421-2023 tillsynsbegäran.docx", "A 49421-2023")</f>
        <v/>
      </c>
      <c r="Y11">
        <f>HYPERLINK("https://klasma.github.io/Logging_0126/tillsynsmail/A 49421-2023 tillsynsbegäran mail.docx", "A 49421-2023")</f>
        <v/>
      </c>
      <c r="Z11">
        <f>HYPERLINK("https://klasma.github.io/Logging_0126/fåglar/A 49421-2023 prioriterade fågelarter.docx", "A 49421-2023")</f>
        <v/>
      </c>
    </row>
    <row r="12" ht="15" customHeight="1">
      <c r="A12" t="inlineStr">
        <is>
          <t>A 24368-2023</t>
        </is>
      </c>
      <c r="B12" s="1" t="n">
        <v>45076</v>
      </c>
      <c r="C12" s="1" t="n">
        <v>45918</v>
      </c>
      <c r="D12" t="inlineStr">
        <is>
          <t>STOCKHOLMS LÄN</t>
        </is>
      </c>
      <c r="E12" t="inlineStr">
        <is>
          <t>HUDDINGE</t>
        </is>
      </c>
      <c r="G12" t="n">
        <v>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HYPERLINK("https://klasma.github.io/Logging_0126/artfynd/A 24368-2023 artfynd.xlsx", "A 24368-2023")</f>
        <v/>
      </c>
      <c r="T12">
        <f>HYPERLINK("https://klasma.github.io/Logging_0126/kartor/A 24368-2023 karta.png", "A 24368-2023")</f>
        <v/>
      </c>
      <c r="V12">
        <f>HYPERLINK("https://klasma.github.io/Logging_0126/klagomål/A 24368-2023 FSC-klagomål.docx", "A 24368-2023")</f>
        <v/>
      </c>
      <c r="W12">
        <f>HYPERLINK("https://klasma.github.io/Logging_0126/klagomålsmail/A 24368-2023 FSC-klagomål mail.docx", "A 24368-2023")</f>
        <v/>
      </c>
      <c r="X12">
        <f>HYPERLINK("https://klasma.github.io/Logging_0126/tillsyn/A 24368-2023 tillsynsbegäran.docx", "A 24368-2023")</f>
        <v/>
      </c>
      <c r="Y12">
        <f>HYPERLINK("https://klasma.github.io/Logging_0126/tillsynsmail/A 24368-2023 tillsynsbegäran mail.docx", "A 24368-2023")</f>
        <v/>
      </c>
    </row>
    <row r="13" ht="15" customHeight="1">
      <c r="A13" t="inlineStr">
        <is>
          <t>A 24233-2023</t>
        </is>
      </c>
      <c r="B13" s="1" t="n">
        <v>45076</v>
      </c>
      <c r="C13" s="1" t="n">
        <v>45918</v>
      </c>
      <c r="D13" t="inlineStr">
        <is>
          <t>STOCKHOLMS LÄN</t>
        </is>
      </c>
      <c r="E13" t="inlineStr">
        <is>
          <t>HUDDINGE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taggsvamp</t>
        </is>
      </c>
      <c r="S13">
        <f>HYPERLINK("https://klasma.github.io/Logging_0126/artfynd/A 24233-2023 artfynd.xlsx", "A 24233-2023")</f>
        <v/>
      </c>
      <c r="T13">
        <f>HYPERLINK("https://klasma.github.io/Logging_0126/kartor/A 24233-2023 karta.png", "A 24233-2023")</f>
        <v/>
      </c>
      <c r="V13">
        <f>HYPERLINK("https://klasma.github.io/Logging_0126/klagomål/A 24233-2023 FSC-klagomål.docx", "A 24233-2023")</f>
        <v/>
      </c>
      <c r="W13">
        <f>HYPERLINK("https://klasma.github.io/Logging_0126/klagomålsmail/A 24233-2023 FSC-klagomål mail.docx", "A 24233-2023")</f>
        <v/>
      </c>
      <c r="X13">
        <f>HYPERLINK("https://klasma.github.io/Logging_0126/tillsyn/A 24233-2023 tillsynsbegäran.docx", "A 24233-2023")</f>
        <v/>
      </c>
      <c r="Y13">
        <f>HYPERLINK("https://klasma.github.io/Logging_0126/tillsynsmail/A 24233-2023 tillsynsbegäran mail.docx", "A 24233-2023")</f>
        <v/>
      </c>
    </row>
    <row r="14" ht="15" customHeight="1">
      <c r="A14" t="inlineStr">
        <is>
          <t>A 32508-2022</t>
        </is>
      </c>
      <c r="B14" s="1" t="n">
        <v>44782</v>
      </c>
      <c r="C14" s="1" t="n">
        <v>45918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24254-2023</t>
        </is>
      </c>
      <c r="B15" s="1" t="n">
        <v>45076</v>
      </c>
      <c r="C15" s="1" t="n">
        <v>45918</v>
      </c>
      <c r="D15" t="inlineStr">
        <is>
          <t>STOCKHOLMS LÄN</t>
        </is>
      </c>
      <c r="E15" t="inlineStr">
        <is>
          <t>HUDDINGE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24257-2023</t>
        </is>
      </c>
      <c r="B16" s="1" t="n">
        <v>45076</v>
      </c>
      <c r="C16" s="1" t="n">
        <v>45918</v>
      </c>
      <c r="D16" t="inlineStr">
        <is>
          <t>STOCKHOLMS LÄN</t>
        </is>
      </c>
      <c r="E16" t="inlineStr">
        <is>
          <t>HUDDINGE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47173-2022</t>
        </is>
      </c>
      <c r="B17" s="1" t="n">
        <v>44852</v>
      </c>
      <c r="C17" s="1" t="n">
        <v>45918</v>
      </c>
      <c r="D17" t="inlineStr">
        <is>
          <t>STOCKHOLMS LÄN</t>
        </is>
      </c>
      <c r="E17" t="inlineStr">
        <is>
          <t>HUDDINGE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58260-2020</t>
        </is>
      </c>
      <c r="B18" s="1" t="n">
        <v>44144</v>
      </c>
      <c r="C18" s="1" t="n">
        <v>45918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35404-2022</t>
        </is>
      </c>
      <c r="B19" s="1" t="n">
        <v>44798</v>
      </c>
      <c r="C19" s="1" t="n">
        <v>45918</v>
      </c>
      <c r="D19" t="inlineStr">
        <is>
          <t>STOCKHOLMS LÄN</t>
        </is>
      </c>
      <c r="E19" t="inlineStr">
        <is>
          <t>HUDDINGE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27561-2025</t>
        </is>
      </c>
      <c r="B20" s="1" t="n">
        <v>45813.48378472222</v>
      </c>
      <c r="C20" s="1" t="n">
        <v>45918</v>
      </c>
      <c r="D20" t="inlineStr">
        <is>
          <t>STOCKHOLMS LÄN</t>
        </is>
      </c>
      <c r="E20" t="inlineStr">
        <is>
          <t>HUDDINGE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27589-2025</t>
        </is>
      </c>
      <c r="B21" s="1" t="n">
        <v>45813.51070601852</v>
      </c>
      <c r="C21" s="1" t="n">
        <v>45918</v>
      </c>
      <c r="D21" t="inlineStr">
        <is>
          <t>STOCKHOLMS LÄN</t>
        </is>
      </c>
      <c r="E21" t="inlineStr">
        <is>
          <t>HUDDINGE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31246-2022</t>
        </is>
      </c>
      <c r="B22" s="1" t="n">
        <v>44771</v>
      </c>
      <c r="C22" s="1" t="n">
        <v>45918</v>
      </c>
      <c r="D22" t="inlineStr">
        <is>
          <t>STOCKHOLMS LÄN</t>
        </is>
      </c>
      <c r="E22" t="inlineStr">
        <is>
          <t>HUDDINGE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17467-2024</t>
        </is>
      </c>
      <c r="B23" s="1" t="n">
        <v>45415.44597222222</v>
      </c>
      <c r="C23" s="1" t="n">
        <v>45918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24363-2023</t>
        </is>
      </c>
      <c r="B24" s="1" t="n">
        <v>45076</v>
      </c>
      <c r="C24" s="1" t="n">
        <v>45918</v>
      </c>
      <c r="D24" t="inlineStr">
        <is>
          <t>STOCKHOLMS LÄN</t>
        </is>
      </c>
      <c r="E24" t="inlineStr">
        <is>
          <t>HUDDINGE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2025-09-18T08:57:02Z</dcterms:created>
  <dcterms:modified xmlns:dcterms="http://purl.org/dc/terms/" xmlns:xsi="http://www.w3.org/2001/XMLSchema-instance" xsi:type="dcterms:W3CDTF">2025-09-18T08:57:02Z</dcterms:modified>
</cp:coreProperties>
</file>