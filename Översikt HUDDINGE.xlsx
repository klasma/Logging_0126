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46188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46188</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46188</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46188</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46188</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46188</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491-2026</t>
        </is>
      </c>
      <c r="B8" s="1" t="n">
        <v>46029.42581018519</v>
      </c>
      <c r="C8" s="1" t="n">
        <v>46188</v>
      </c>
      <c r="D8" t="inlineStr">
        <is>
          <t>STOCKHOLMS LÄN</t>
        </is>
      </c>
      <c r="E8" t="inlineStr">
        <is>
          <t>HUDDINGE</t>
        </is>
      </c>
      <c r="G8" t="n">
        <v>3.2</v>
      </c>
      <c r="H8" t="n">
        <v>1</v>
      </c>
      <c r="I8" t="n">
        <v>0</v>
      </c>
      <c r="J8" t="n">
        <v>0</v>
      </c>
      <c r="K8" t="n">
        <v>0</v>
      </c>
      <c r="L8" t="n">
        <v>0</v>
      </c>
      <c r="M8" t="n">
        <v>0</v>
      </c>
      <c r="N8" t="n">
        <v>0</v>
      </c>
      <c r="O8" t="n">
        <v>0</v>
      </c>
      <c r="P8" t="n">
        <v>0</v>
      </c>
      <c r="Q8" t="n">
        <v>1</v>
      </c>
      <c r="R8" s="2" t="inlineStr">
        <is>
          <t>Blåsippa</t>
        </is>
      </c>
      <c r="S8">
        <f>HYPERLINK("https://klasma.github.io/Logging_0126/artfynd/A 491-2026 artfynd.xlsx", "A 491-2026")</f>
        <v/>
      </c>
      <c r="T8">
        <f>HYPERLINK("https://klasma.github.io/Logging_0126/kartor/A 491-2026 karta.png", "A 491-2026")</f>
        <v/>
      </c>
      <c r="V8">
        <f>HYPERLINK("https://klasma.github.io/Logging_0126/klagomål/A 491-2026 FSC-klagomål.docx", "A 491-2026")</f>
        <v/>
      </c>
      <c r="W8">
        <f>HYPERLINK("https://klasma.github.io/Logging_0126/klagomålsmail/A 491-2026 FSC-klagomål mail.docx", "A 491-2026")</f>
        <v/>
      </c>
      <c r="X8">
        <f>HYPERLINK("https://klasma.github.io/Logging_0126/tillsyn/A 491-2026 tillsynsbegäran.docx", "A 491-2026")</f>
        <v/>
      </c>
      <c r="Y8">
        <f>HYPERLINK("https://klasma.github.io/Logging_0126/tillsynsmail/A 491-2026 tillsynsbegäran mail.docx", "A 491-2026")</f>
        <v/>
      </c>
    </row>
    <row r="9" ht="15" customHeight="1">
      <c r="A9" t="inlineStr">
        <is>
          <t>A 24384-2023</t>
        </is>
      </c>
      <c r="B9" s="1" t="n">
        <v>45076</v>
      </c>
      <c r="C9" s="1" t="n">
        <v>46188</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46188</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46188</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46188</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46188</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46188</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46188</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46188</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46188</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46188</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47173-2022</t>
        </is>
      </c>
      <c r="B19" s="1" t="n">
        <v>44852</v>
      </c>
      <c r="C19" s="1" t="n">
        <v>46188</v>
      </c>
      <c r="D19" t="inlineStr">
        <is>
          <t>STOCKHOLMS LÄN</t>
        </is>
      </c>
      <c r="E19" t="inlineStr">
        <is>
          <t>HUDDINGE</t>
        </is>
      </c>
      <c r="G19" t="n">
        <v>1.9</v>
      </c>
      <c r="H19" t="n">
        <v>0</v>
      </c>
      <c r="I19" t="n">
        <v>0</v>
      </c>
      <c r="J19" t="n">
        <v>0</v>
      </c>
      <c r="K19" t="n">
        <v>0</v>
      </c>
      <c r="L19" t="n">
        <v>0</v>
      </c>
      <c r="M19" t="n">
        <v>0</v>
      </c>
      <c r="N19" t="n">
        <v>0</v>
      </c>
      <c r="O19" t="n">
        <v>0</v>
      </c>
      <c r="P19" t="n">
        <v>0</v>
      </c>
      <c r="Q19" t="n">
        <v>0</v>
      </c>
      <c r="R19" s="2" t="inlineStr"/>
    </row>
    <row r="20" ht="15" customHeight="1">
      <c r="A20" t="inlineStr">
        <is>
          <t>A 25210-2026</t>
        </is>
      </c>
      <c r="B20" s="1" t="n">
        <v>46175.61104166666</v>
      </c>
      <c r="C20" s="1" t="n">
        <v>46188</v>
      </c>
      <c r="D20" t="inlineStr">
        <is>
          <t>STOCKHOLMS LÄN</t>
        </is>
      </c>
      <c r="E20" t="inlineStr">
        <is>
          <t>HUDDINGE</t>
        </is>
      </c>
      <c r="G20" t="n">
        <v>0.6</v>
      </c>
      <c r="H20" t="n">
        <v>0</v>
      </c>
      <c r="I20" t="n">
        <v>0</v>
      </c>
      <c r="J20" t="n">
        <v>0</v>
      </c>
      <c r="K20" t="n">
        <v>0</v>
      </c>
      <c r="L20" t="n">
        <v>0</v>
      </c>
      <c r="M20" t="n">
        <v>0</v>
      </c>
      <c r="N20" t="n">
        <v>0</v>
      </c>
      <c r="O20" t="n">
        <v>0</v>
      </c>
      <c r="P20" t="n">
        <v>0</v>
      </c>
      <c r="Q20" t="n">
        <v>0</v>
      </c>
      <c r="R20" s="2" t="inlineStr"/>
    </row>
    <row r="21" ht="15" customHeight="1">
      <c r="A21" t="inlineStr">
        <is>
          <t>A 25208-2026</t>
        </is>
      </c>
      <c r="B21" s="1" t="n">
        <v>46175.6061574074</v>
      </c>
      <c r="C21" s="1" t="n">
        <v>46188</v>
      </c>
      <c r="D21" t="inlineStr">
        <is>
          <t>STOCKHOLMS LÄN</t>
        </is>
      </c>
      <c r="E21" t="inlineStr">
        <is>
          <t>HUDDINGE</t>
        </is>
      </c>
      <c r="G21" t="n">
        <v>1.1</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46188</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46188</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2026-06-15T09:25:07Z</dcterms:created>
  <dcterms:modified xmlns:dcterms="http://purl.org/dc/terms/" xmlns:xsi="http://www.w3.org/2001/XMLSchema-instance" xsi:type="dcterms:W3CDTF">2026-06-15T09:25:07Z</dcterms:modified>
</cp:coreProperties>
</file>