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46295</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46295</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46295</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46295</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46295</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46295</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46295</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46295</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46295</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46295</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46295</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46295</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46295</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46295</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24368-2023</t>
        </is>
      </c>
      <c r="B16" t="inlineStr">
        <is>
          <t>avverkningsanmälan</t>
        </is>
      </c>
      <c r="C16" t="inlineStr">
        <is>
          <t>Föryngringsavverkning</t>
        </is>
      </c>
      <c r="D16" s="1" t="n">
        <v>45076</v>
      </c>
      <c r="E16" s="1" t="n">
        <v>46295</v>
      </c>
      <c r="F16" t="inlineStr">
        <is>
          <t>STOCKHOLMS LÄN</t>
        </is>
      </c>
      <c r="G16" t="inlineStr">
        <is>
          <t>HUDDINGE</t>
        </is>
      </c>
      <c r="I16" t="n">
        <v>3</v>
      </c>
      <c r="J16" t="n">
        <v>1</v>
      </c>
      <c r="K16" t="n">
        <v>1</v>
      </c>
      <c r="L16" t="n">
        <v>1</v>
      </c>
      <c r="M16" t="n">
        <v>0</v>
      </c>
      <c r="N16" t="n">
        <v>0</v>
      </c>
      <c r="O16" t="n">
        <v>0</v>
      </c>
      <c r="P16" t="n">
        <v>0</v>
      </c>
      <c r="Q16" t="n">
        <v>1</v>
      </c>
      <c r="R16" t="n">
        <v>0</v>
      </c>
      <c r="S16" t="n">
        <v>2</v>
      </c>
      <c r="T16" t="n">
        <v>2</v>
      </c>
      <c r="U16" t="n">
        <v>2</v>
      </c>
      <c r="V16" s="2" t="inlineStr">
        <is>
          <t>Motaggsvamp
Plattlummer</t>
        </is>
      </c>
      <c r="W16">
        <f>HYPERLINK("https://klasma.github.io/Logging_0126/artfynd/A 24368-2023 artfynd.xlsx", "A 24368-2023")</f>
        <v/>
      </c>
      <c r="X16">
        <f>HYPERLINK("https://klasma.github.io/Logging_0126/kartor/A 24368-2023 karta.png", "A 24368-2023")</f>
        <v/>
      </c>
      <c r="Y16">
        <f>HYPERLINK("https://klasma.github.io/Logging_0126/kartor_geotiff/A 24368-2023 georefererad karta.tif", "A 24368-2023")</f>
        <v/>
      </c>
      <c r="AA16">
        <f>HYPERLINK("https://klasma.github.io/Logging_0126/klagomål/A 24368-2023 FSC-klagomål.docx", "A 24368-2023")</f>
        <v/>
      </c>
      <c r="AB16">
        <f>HYPERLINK("https://klasma.github.io/Logging_0126/klagomålsmail/A 24368-2023 FSC-klagomål mail.docx", "A 24368-2023")</f>
        <v/>
      </c>
      <c r="AC16">
        <f>HYPERLINK("https://klasma.github.io/Logging_0126/tillsyn/A 24368-2023 tillsynsbegäran.docx", "A 24368-2023")</f>
        <v/>
      </c>
      <c r="AD16">
        <f>HYPERLINK("https://klasma.github.io/Logging_0126/tillsynsmail/A 24368-2023 tillsynsbegäran mail.docx", "A 24368-2023")</f>
        <v/>
      </c>
    </row>
    <row r="17" ht="15" customHeight="1">
      <c r="A17" t="inlineStr">
        <is>
          <t>A 31569-2026</t>
        </is>
      </c>
      <c r="B17" t="inlineStr">
        <is>
          <t>avverkningsanmälan</t>
        </is>
      </c>
      <c r="C17" t="inlineStr">
        <is>
          <t>Avverkning för annat ändamål</t>
        </is>
      </c>
      <c r="D17" s="1" t="n">
        <v>46223</v>
      </c>
      <c r="E17" s="1" t="n">
        <v>46295</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24363-2023</t>
        </is>
      </c>
      <c r="B18" t="inlineStr">
        <is>
          <t>avverkningsanmälan</t>
        </is>
      </c>
      <c r="C18" t="inlineStr">
        <is>
          <t>Föryngringsavverkning</t>
        </is>
      </c>
      <c r="D18" s="1" t="n">
        <v>45076</v>
      </c>
      <c r="E18" s="1" t="n">
        <v>46295</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46295</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24262-2023</t>
        </is>
      </c>
      <c r="B20" t="inlineStr">
        <is>
          <t>avverkningsanmälan</t>
        </is>
      </c>
      <c r="C20" t="inlineStr">
        <is>
          <t>Föryngringsavverkning</t>
        </is>
      </c>
      <c r="D20" s="1" t="n">
        <v>45076</v>
      </c>
      <c r="E20" s="1" t="n">
        <v>46295</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31514-2026</t>
        </is>
      </c>
      <c r="B21" t="inlineStr">
        <is>
          <t>avverkningsanmälan</t>
        </is>
      </c>
      <c r="C21" t="inlineStr">
        <is>
          <t>Avverkning för annat ändamål</t>
        </is>
      </c>
      <c r="D21" s="1" t="n">
        <v>46223</v>
      </c>
      <c r="E21" s="1" t="n">
        <v>46295</v>
      </c>
      <c r="F21" t="inlineStr">
        <is>
          <t>STOCKHOLMS LÄN</t>
        </is>
      </c>
      <c r="G21" t="inlineStr">
        <is>
          <t>HUDDINGE</t>
        </is>
      </c>
      <c r="H21" t="inlineStr">
        <is>
          <t>Kommuner</t>
        </is>
      </c>
      <c r="I21" t="n">
        <v>1</v>
      </c>
      <c r="J21" t="n">
        <v>0</v>
      </c>
      <c r="K21" t="n">
        <v>1</v>
      </c>
      <c r="L21" t="n">
        <v>0</v>
      </c>
      <c r="M21" t="n">
        <v>0</v>
      </c>
      <c r="N21" t="n">
        <v>0</v>
      </c>
      <c r="O21" t="n">
        <v>0</v>
      </c>
      <c r="P21" t="n">
        <v>0</v>
      </c>
      <c r="Q21" t="n">
        <v>0</v>
      </c>
      <c r="R21" t="n">
        <v>0</v>
      </c>
      <c r="S21" t="n">
        <v>1</v>
      </c>
      <c r="T21" t="n">
        <v>2</v>
      </c>
      <c r="U21" t="n">
        <v>0</v>
      </c>
      <c r="V21" s="2" t="inlineStr">
        <is>
          <t>Tibast</t>
        </is>
      </c>
      <c r="W21">
        <f>HYPERLINK("https://klasma.github.io/Logging_0126/artfynd/A 31514-2026 artfynd.xlsx", "A 31514-2026")</f>
        <v/>
      </c>
      <c r="X21">
        <f>HYPERLINK("https://klasma.github.io/Logging_0126/kartor/A 31514-2026 karta.png", "A 31514-2026")</f>
        <v/>
      </c>
      <c r="Y21">
        <f>HYPERLINK("https://klasma.github.io/Logging_0126/kartor_geotiff/A 31514-2026 georefererad karta.tif", "A 31514-2026")</f>
        <v/>
      </c>
      <c r="AA21">
        <f>HYPERLINK("https://klasma.github.io/Logging_0126/klagomål/A 31514-2026 FSC-klagomål.docx", "A 31514-2026")</f>
        <v/>
      </c>
      <c r="AB21">
        <f>HYPERLINK("https://klasma.github.io/Logging_0126/klagomålsmail/A 31514-2026 FSC-klagomål mail.docx", "A 31514-2026")</f>
        <v/>
      </c>
      <c r="AC21">
        <f>HYPERLINK("https://klasma.github.io/Logging_0126/tillsyn/A 31514-2026 tillsynsbegäran.docx", "A 31514-2026")</f>
        <v/>
      </c>
      <c r="AD21">
        <f>HYPERLINK("https://klasma.github.io/Logging_0126/tillsynsmail/A 31514-2026 tillsynsbegäran mail.docx", "A 31514-2026")</f>
        <v/>
      </c>
    </row>
    <row r="22" ht="15" customHeight="1">
      <c r="A22" t="inlineStr">
        <is>
          <t>A 31568-2026</t>
        </is>
      </c>
      <c r="B22" t="inlineStr">
        <is>
          <t>avverkningsanmälan</t>
        </is>
      </c>
      <c r="C22" t="inlineStr">
        <is>
          <t>Avverkning för annat ändamål</t>
        </is>
      </c>
      <c r="D22" s="1" t="n">
        <v>46223</v>
      </c>
      <c r="E22" s="1" t="n">
        <v>46295</v>
      </c>
      <c r="F22" t="inlineStr">
        <is>
          <t>STOCKHOLMS LÄN</t>
        </is>
      </c>
      <c r="G22" t="inlineStr">
        <is>
          <t>HUDDINGE</t>
        </is>
      </c>
      <c r="H22" t="inlineStr">
        <is>
          <t>Kommuner</t>
        </is>
      </c>
      <c r="I22" t="n">
        <v>0.2</v>
      </c>
      <c r="J22" t="n">
        <v>1</v>
      </c>
      <c r="K22" t="n">
        <v>0</v>
      </c>
      <c r="L22" t="n">
        <v>0</v>
      </c>
      <c r="M22" t="n">
        <v>0</v>
      </c>
      <c r="N22" t="n">
        <v>0</v>
      </c>
      <c r="O22" t="n">
        <v>0</v>
      </c>
      <c r="P22" t="n">
        <v>0</v>
      </c>
      <c r="Q22" t="n">
        <v>0</v>
      </c>
      <c r="R22" t="n">
        <v>0</v>
      </c>
      <c r="S22" t="n">
        <v>1</v>
      </c>
      <c r="T22" t="n">
        <v>1</v>
      </c>
      <c r="U22" t="n">
        <v>0</v>
      </c>
      <c r="V22" s="2" t="inlineStr">
        <is>
          <t>Skogsödla</t>
        </is>
      </c>
      <c r="W22">
        <f>HYPERLINK("https://klasma.github.io/Logging_0126/artfynd/A 31568-2026 artfynd.xlsx", "A 31568-2026")</f>
        <v/>
      </c>
      <c r="X22">
        <f>HYPERLINK("https://klasma.github.io/Logging_0126/kartor/A 31568-2026 karta.png", "A 31568-2026")</f>
        <v/>
      </c>
      <c r="Y22">
        <f>HYPERLINK("https://klasma.github.io/Logging_0126/kartor_geotiff/A 31568-2026 georefererad karta.tif", "A 31568-2026")</f>
        <v/>
      </c>
      <c r="AA22">
        <f>HYPERLINK("https://klasma.github.io/Logging_0126/klagomål/A 31568-2026 FSC-klagomål.docx", "A 31568-2026")</f>
        <v/>
      </c>
      <c r="AB22">
        <f>HYPERLINK("https://klasma.github.io/Logging_0126/klagomålsmail/A 31568-2026 FSC-klagomål mail.docx", "A 31568-2026")</f>
        <v/>
      </c>
      <c r="AC22">
        <f>HYPERLINK("https://klasma.github.io/Logging_0126/tillsyn/A 31568-2026 tillsynsbegäran.docx", "A 31568-2026")</f>
        <v/>
      </c>
      <c r="AD22">
        <f>HYPERLINK("https://klasma.github.io/Logging_0126/tillsynsmail/A 31568-2026 tillsynsbegäran mail.docx", "A 31568-2026")</f>
        <v/>
      </c>
    </row>
    <row r="23" ht="15" customHeight="1">
      <c r="A23" t="inlineStr">
        <is>
          <t>A 31633-2026</t>
        </is>
      </c>
      <c r="B23" t="inlineStr">
        <is>
          <t>avverkningsanmälan</t>
        </is>
      </c>
      <c r="C23" t="inlineStr">
        <is>
          <t>Avverkning för annat ändamål</t>
        </is>
      </c>
      <c r="D23" s="1" t="n">
        <v>46223</v>
      </c>
      <c r="E23" s="1" t="n">
        <v>46295</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31795-2026</t>
        </is>
      </c>
      <c r="B24" t="inlineStr">
        <is>
          <t>avverkningsanmälan</t>
        </is>
      </c>
      <c r="C24" t="inlineStr">
        <is>
          <t>Avverkning för annat ändamål</t>
        </is>
      </c>
      <c r="D24" s="1" t="n">
        <v>46230</v>
      </c>
      <c r="E24" s="1" t="n">
        <v>46295</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46295</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27561-2025</t>
        </is>
      </c>
      <c r="B26" t="inlineStr">
        <is>
          <t>avverkningsanmälan</t>
        </is>
      </c>
      <c r="C26" t="inlineStr">
        <is>
          <t>Föryngringsavverkning</t>
        </is>
      </c>
      <c r="D26" s="1" t="n">
        <v>45813</v>
      </c>
      <c r="E26" s="1" t="n">
        <v>46295</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46295</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31246-2022</t>
        </is>
      </c>
      <c r="B28" t="inlineStr">
        <is>
          <t>avverkningsanmälan</t>
        </is>
      </c>
      <c r="C28" t="inlineStr">
        <is>
          <t>Avverkning för annat ändamål</t>
        </is>
      </c>
      <c r="D28" s="1" t="n">
        <v>44771</v>
      </c>
      <c r="E28" s="1" t="n">
        <v>46295</v>
      </c>
      <c r="F28" t="inlineStr">
        <is>
          <t>STOCKHOLMS LÄN</t>
        </is>
      </c>
      <c r="G28" t="inlineStr">
        <is>
          <t>HUDDINGE</t>
        </is>
      </c>
      <c r="I28" t="n">
        <v>4.3</v>
      </c>
      <c r="J28" t="n">
        <v>0</v>
      </c>
      <c r="K28" t="n">
        <v>0</v>
      </c>
      <c r="L28" t="n">
        <v>0</v>
      </c>
      <c r="M28" t="n">
        <v>0</v>
      </c>
      <c r="N28" t="n">
        <v>0</v>
      </c>
      <c r="O28" t="n">
        <v>0</v>
      </c>
      <c r="P28" t="n">
        <v>0</v>
      </c>
      <c r="Q28" t="n">
        <v>0</v>
      </c>
      <c r="R28" t="n">
        <v>0</v>
      </c>
      <c r="S28" t="n">
        <v>0</v>
      </c>
      <c r="T28" t="n">
        <v>0</v>
      </c>
      <c r="U28" t="n">
        <v>0</v>
      </c>
      <c r="V28" s="2" t="inlineStr"/>
    </row>
    <row r="29" ht="15" customHeight="1">
      <c r="A29" t="inlineStr">
        <is>
          <t>A 35404-2022</t>
        </is>
      </c>
      <c r="B29" t="inlineStr">
        <is>
          <t>avverkningsanmälan</t>
        </is>
      </c>
      <c r="C29" t="inlineStr">
        <is>
          <t>Föryngringsavverkning</t>
        </is>
      </c>
      <c r="D29" s="1" t="n">
        <v>44798</v>
      </c>
      <c r="E29" s="1" t="n">
        <v>46295</v>
      </c>
      <c r="F29" t="inlineStr">
        <is>
          <t>STOCKHOLMS LÄN</t>
        </is>
      </c>
      <c r="G29" t="inlineStr">
        <is>
          <t>HUDDINGE</t>
        </is>
      </c>
      <c r="H29" t="inlineStr">
        <is>
          <t>Kommuner</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31650-2026</t>
        </is>
      </c>
      <c r="B30" t="inlineStr">
        <is>
          <t>avverkningsanmälan</t>
        </is>
      </c>
      <c r="C30" t="inlineStr">
        <is>
          <t>Avverkning för annat ändamål</t>
        </is>
      </c>
      <c r="D30" s="1" t="n">
        <v>46225</v>
      </c>
      <c r="E30" s="1" t="n">
        <v>46295</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31645-2026</t>
        </is>
      </c>
      <c r="B31" t="inlineStr">
        <is>
          <t>avverkningsanmälan</t>
        </is>
      </c>
      <c r="C31" t="inlineStr">
        <is>
          <t>Avverkning för annat ändamål</t>
        </is>
      </c>
      <c r="D31" s="1" t="n">
        <v>46225</v>
      </c>
      <c r="E31" s="1" t="n">
        <v>46295</v>
      </c>
      <c r="F31" t="inlineStr">
        <is>
          <t>STOCKHOLMS LÄN</t>
        </is>
      </c>
      <c r="G31" t="inlineStr">
        <is>
          <t>HUDDINGE</t>
        </is>
      </c>
      <c r="H31" t="inlineStr">
        <is>
          <t>Kommuner</t>
        </is>
      </c>
      <c r="I31" t="n">
        <v>0.7</v>
      </c>
      <c r="J31" t="n">
        <v>0</v>
      </c>
      <c r="K31" t="n">
        <v>0</v>
      </c>
      <c r="L31" t="n">
        <v>0</v>
      </c>
      <c r="M31" t="n">
        <v>0</v>
      </c>
      <c r="N31" t="n">
        <v>0</v>
      </c>
      <c r="O31" t="n">
        <v>0</v>
      </c>
      <c r="P31" t="n">
        <v>0</v>
      </c>
      <c r="Q31" t="n">
        <v>0</v>
      </c>
      <c r="R31" t="n">
        <v>0</v>
      </c>
      <c r="S31" t="n">
        <v>0</v>
      </c>
      <c r="T31" t="n">
        <v>0</v>
      </c>
      <c r="U31" t="n">
        <v>0</v>
      </c>
      <c r="V31" s="2" t="inlineStr"/>
    </row>
    <row r="32">
      <c r="A32" t="inlineStr">
        <is>
          <t>A 31651-2026</t>
        </is>
      </c>
      <c r="B32" t="inlineStr">
        <is>
          <t>avverkningsanmälan</t>
        </is>
      </c>
      <c r="C32" t="inlineStr">
        <is>
          <t>Avverkning för annat ändamål</t>
        </is>
      </c>
      <c r="D32" s="1" t="n">
        <v>46223</v>
      </c>
      <c r="E32" s="1" t="n">
        <v>46295</v>
      </c>
      <c r="F32" t="inlineStr">
        <is>
          <t>STOCKHOLMS LÄN</t>
        </is>
      </c>
      <c r="G32" t="inlineStr">
        <is>
          <t>HUDDINGE</t>
        </is>
      </c>
      <c r="H32" t="inlineStr">
        <is>
          <t>Kommuner</t>
        </is>
      </c>
      <c r="I32" t="n">
        <v>0</v>
      </c>
      <c r="J32" t="n">
        <v>0</v>
      </c>
      <c r="K32" t="n">
        <v>0</v>
      </c>
      <c r="L32" t="n">
        <v>0</v>
      </c>
      <c r="M32" t="n">
        <v>0</v>
      </c>
      <c r="N32" t="n">
        <v>0</v>
      </c>
      <c r="O32" t="n">
        <v>0</v>
      </c>
      <c r="P32" t="n">
        <v>0</v>
      </c>
      <c r="Q32" t="n">
        <v>0</v>
      </c>
      <c r="R32" t="n">
        <v>0</v>
      </c>
      <c r="S32" t="n">
        <v>0</v>
      </c>
      <c r="T32" t="n">
        <v>0</v>
      </c>
      <c r="U32" t="n">
        <v>0</v>
      </c>
      <c r="V32" s="2" t="inlineStr"/>
      <c r="X32">
        <f>HYPERLINK("https://klasma.github.io/Logging_0126/kartor/A 31651-2026 karta.png", "A 31651-2026")</f>
        <v/>
      </c>
      <c r="Y32">
        <f>HYPERLINK("https://klasma.github.io/Logging_0126/kartor_geotiff/A 31651-2026 georefererad karta.tif", "A 31651-2026")</f>
        <v/>
      </c>
      <c r="AA32">
        <f>HYPERLINK("https://klasma.github.io/Logging_0126/klagomål/A 31651-2026 FSC-klagomål.docx", "A 31651-2026")</f>
        <v/>
      </c>
      <c r="AB32">
        <f>HYPERLINK("https://klasma.github.io/Logging_0126/klagomålsmail/A 31651-2026 FSC-klagomål mail.docx", "A 31651-2026")</f>
        <v/>
      </c>
      <c r="AC32">
        <f>HYPERLINK("https://klasma.github.io/Logging_0126/tillsyn/A 31651-2026 tillsynsbegäran.docx", "A 31651-2026")</f>
        <v/>
      </c>
      <c r="AD32">
        <f>HYPERLINK("https://klasma.github.io/Logging_0126/tillsynsmail/A 31651-2026 tillsynsbegäran mail.docx", "A 31651-2026")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2026-09-30T01:58:59Z</dcterms:created>
  <dcterms:modified xmlns:dcterms="http://purl.org/dc/terms/" xmlns:xsi="http://www.w3.org/2001/XMLSchema-instance" xsi:type="dcterms:W3CDTF">2026-09-30T01:58:59Z</dcterms:modified>
</cp:coreProperties>
</file>