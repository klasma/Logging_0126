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46299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46299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46299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46299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46299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46299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46299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46299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46299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17467-2024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46299</v>
      </c>
      <c r="F11" t="inlineStr">
        <is>
          <t>STOCKHOLMS LÄN</t>
        </is>
      </c>
      <c r="G11" t="inlineStr">
        <is>
          <t>HUDDINGE</t>
        </is>
      </c>
      <c r="I11" t="n">
        <v>14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Motaggsvamp
Bronshjon</t>
        </is>
      </c>
      <c r="W11">
        <f>HYPERLINK("https://klasma.github.io/Logging_0126/artfynd/A 17467-2024 artfynd.xlsx", "A 17467-2024")</f>
        <v/>
      </c>
      <c r="X11">
        <f>HYPERLINK("https://klasma.github.io/Logging_0126/kartor/A 17467-2024 karta.png", "A 17467-2024")</f>
        <v/>
      </c>
      <c r="Y11">
        <f>HYPERLINK("https://klasma.github.io/Logging_0126/kartor_geotiff/A 17467-2024 georefererad karta.tif", "A 17467-2024")</f>
        <v/>
      </c>
      <c r="Z11">
        <f>HYPERLINK("https://klasma.github.io/Logging_0126/knärot/A 17467-2024 karta knärot.png", "A 17467-2024")</f>
        <v/>
      </c>
      <c r="AA11">
        <f>HYPERLINK("https://klasma.github.io/Logging_0126/klagomål/A 17467-2024 FSC-klagomål.docx", "A 17467-2024")</f>
        <v/>
      </c>
      <c r="AB11">
        <f>HYPERLINK("https://klasma.github.io/Logging_0126/klagomålsmail/A 17467-2024 FSC-klagomål mail.docx", "A 17467-2024")</f>
        <v/>
      </c>
      <c r="AC11">
        <f>HYPERLINK("https://klasma.github.io/Logging_0126/tillsyn/A 17467-2024 tillsynsbegäran.docx", "A 17467-2024")</f>
        <v/>
      </c>
      <c r="AD11">
        <f>HYPERLINK("https://klasma.github.io/Logging_0126/tillsynsmail/A 17467-2024 tillsynsbegäran mail.docx", "A 17467-2024")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46299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46299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46299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46299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46299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46299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24262-2023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46299</v>
      </c>
      <c r="F18" t="inlineStr">
        <is>
          <t>STOCKHOLMS LÄN</t>
        </is>
      </c>
      <c r="G18" t="inlineStr">
        <is>
          <t>HUDDINGE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HYPERLINK("https://klasma.github.io/Logging_0126/artfynd/A 24262-2023 artfynd.xlsx", "A 24262-2023")</f>
        <v/>
      </c>
      <c r="X18">
        <f>HYPERLINK("https://klasma.github.io/Logging_0126/kartor/A 24262-2023 karta.png", "A 24262-2023")</f>
        <v/>
      </c>
      <c r="Y18">
        <f>HYPERLINK("https://klasma.github.io/Logging_0126/kartor_geotiff/A 24262-2023 georefererad karta.tif", "A 24262-2023")</f>
        <v/>
      </c>
      <c r="AA18">
        <f>HYPERLINK("https://klasma.github.io/Logging_0126/klagomål/A 24262-2023 FSC-klagomål.docx", "A 24262-2023")</f>
        <v/>
      </c>
      <c r="AB18">
        <f>HYPERLINK("https://klasma.github.io/Logging_0126/klagomålsmail/A 24262-2023 FSC-klagomål mail.docx", "A 24262-2023")</f>
        <v/>
      </c>
      <c r="AC18">
        <f>HYPERLINK("https://klasma.github.io/Logging_0126/tillsyn/A 24262-2023 tillsynsbegäran.docx", "A 24262-2023")</f>
        <v/>
      </c>
      <c r="AD18">
        <f>HYPERLINK("https://klasma.github.io/Logging_0126/tillsynsmail/A 24262-2023 tillsynsbegäran mail.docx", "A 24262-2023")</f>
        <v/>
      </c>
    </row>
    <row r="19" ht="15" customHeight="1">
      <c r="A19" t="inlineStr">
        <is>
          <t>A 24363-2023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46299</v>
      </c>
      <c r="F19" t="inlineStr">
        <is>
          <t>STOCKHOLMS LÄN</t>
        </is>
      </c>
      <c r="G19" t="inlineStr">
        <is>
          <t>HUDDINGE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HYPERLINK("https://klasma.github.io/Logging_0126/artfynd/A 24363-2023 artfynd.xlsx", "A 24363-2023")</f>
        <v/>
      </c>
      <c r="X19">
        <f>HYPERLINK("https://klasma.github.io/Logging_0126/kartor/A 24363-2023 karta.png", "A 24363-2023")</f>
        <v/>
      </c>
      <c r="Y19">
        <f>HYPERLINK("https://klasma.github.io/Logging_0126/kartor_geotiff/A 24363-2023 georefererad karta.tif", "A 24363-2023")</f>
        <v/>
      </c>
      <c r="AA19">
        <f>HYPERLINK("https://klasma.github.io/Logging_0126/klagomål/A 24363-2023 FSC-klagomål.docx", "A 24363-2023")</f>
        <v/>
      </c>
      <c r="AB19">
        <f>HYPERLINK("https://klasma.github.io/Logging_0126/klagomålsmail/A 24363-2023 FSC-klagomål mail.docx", "A 24363-2023")</f>
        <v/>
      </c>
      <c r="AC19">
        <f>HYPERLINK("https://klasma.github.io/Logging_0126/tillsyn/A 24363-2023 tillsynsbegäran.docx", "A 24363-2023")</f>
        <v/>
      </c>
      <c r="AD19">
        <f>HYPERLINK("https://klasma.github.io/Logging_0126/tillsynsmail/A 24363-2023 tillsynsbegäran mail.docx", "A 24363-2023")</f>
        <v/>
      </c>
    </row>
    <row r="20" ht="15" customHeight="1">
      <c r="A20" t="inlineStr">
        <is>
          <t>A 31633-2026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46299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Kopparödla</t>
        </is>
      </c>
      <c r="W20">
        <f>HYPERLINK("https://klasma.github.io/Logging_0126/artfynd/A 31633-2026 artfynd.xlsx", "A 31633-2026")</f>
        <v/>
      </c>
      <c r="X20">
        <f>HYPERLINK("https://klasma.github.io/Logging_0126/kartor/A 31633-2026 karta.png", "A 31633-2026")</f>
        <v/>
      </c>
      <c r="Y20">
        <f>HYPERLINK("https://klasma.github.io/Logging_0126/kartor_geotiff/A 31633-2026 georefererad karta.tif", "A 31633-2026")</f>
        <v/>
      </c>
      <c r="AA20">
        <f>HYPERLINK("https://klasma.github.io/Logging_0126/klagomål/A 31633-2026 FSC-klagomål.docx", "A 31633-2026")</f>
        <v/>
      </c>
      <c r="AB20">
        <f>HYPERLINK("https://klasma.github.io/Logging_0126/klagomålsmail/A 31633-2026 FSC-klagomål mail.docx", "A 31633-2026")</f>
        <v/>
      </c>
      <c r="AC20">
        <f>HYPERLINK("https://klasma.github.io/Logging_0126/tillsyn/A 31633-2026 tillsynsbegäran.docx", "A 31633-2026")</f>
        <v/>
      </c>
      <c r="AD20">
        <f>HYPERLINK("https://klasma.github.io/Logging_0126/tillsynsmail/A 31633-2026 tillsynsbegäran mail.docx", "A 31633-2026")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46299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46299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46299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46299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27561-2025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46299</v>
      </c>
      <c r="F25" t="inlineStr">
        <is>
          <t>STOCKHOLMS LÄN</t>
        </is>
      </c>
      <c r="G25" t="inlineStr">
        <is>
          <t>HUDDINGE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46299</v>
      </c>
      <c r="F26" t="inlineStr">
        <is>
          <t>STOCKHOLMS LÄN</t>
        </is>
      </c>
      <c r="G26" t="inlineStr">
        <is>
          <t>HUDDINGE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35404-2022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44798</v>
      </c>
      <c r="E27" s="1" t="n">
        <v>46299</v>
      </c>
      <c r="F27" t="inlineStr">
        <is>
          <t>STOCKHOLMS LÄN</t>
        </is>
      </c>
      <c r="G27" t="inlineStr">
        <is>
          <t>HUDDINGE</t>
        </is>
      </c>
      <c r="H27" t="inlineStr">
        <is>
          <t>Kommuner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31645-2026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46225</v>
      </c>
      <c r="E28" s="1" t="n">
        <v>46299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31651-2026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46223</v>
      </c>
      <c r="E29" s="1" t="n">
        <v>46299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  <c r="X29">
        <f>HYPERLINK("https://klasma.github.io/Logging_0126/kartor/A 31651-2026 karta.png", "A 31651-2026")</f>
        <v/>
      </c>
      <c r="Y29">
        <f>HYPERLINK("https://klasma.github.io/Logging_0126/kartor_geotiff/A 31651-2026 georefererad karta.tif", "A 31651-2026")</f>
        <v/>
      </c>
      <c r="AA29">
        <f>HYPERLINK("https://klasma.github.io/Logging_0126/klagomål/A 31651-2026 FSC-klagomål.docx", "A 31651-2026")</f>
        <v/>
      </c>
      <c r="AB29">
        <f>HYPERLINK("https://klasma.github.io/Logging_0126/klagomålsmail/A 31651-2026 FSC-klagomål mail.docx", "A 31651-2026")</f>
        <v/>
      </c>
      <c r="AC29">
        <f>HYPERLINK("https://klasma.github.io/Logging_0126/tillsyn/A 31651-2026 tillsynsbegäran.docx", "A 31651-2026")</f>
        <v/>
      </c>
      <c r="AD29">
        <f>HYPERLINK("https://klasma.github.io/Logging_0126/tillsynsmail/A 31651-2026 tillsynsbegäran mail.docx", "A 31651-2026")</f>
        <v/>
      </c>
    </row>
    <row r="30" ht="15" customHeight="1">
      <c r="A30" t="inlineStr">
        <is>
          <t>A 31650-2026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46299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31246-2022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44771</v>
      </c>
      <c r="E31" s="1" t="n">
        <v>46299</v>
      </c>
      <c r="F31" t="inlineStr">
        <is>
          <t>STOCKHOLMS LÄN</t>
        </is>
      </c>
      <c r="G31" t="inlineStr">
        <is>
          <t>HUDDINGE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2026-10-04T02:00:09Z</dcterms:created>
  <dcterms:modified xmlns:dcterms="http://purl.org/dc/terms/" xmlns:xsi="http://www.w3.org/2001/XMLSchema-instance" xsi:type="dcterms:W3CDTF">2026-10-04T02:00:09Z</dcterms:modified>
</cp:coreProperties>
</file>