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46255</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46255</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46255</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46255</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46255</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46255</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46255</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46255</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46255</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46255</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46255</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46255</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46255</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46255</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31569-2026</t>
        </is>
      </c>
      <c r="B16" t="inlineStr">
        <is>
          <t>avverkningsanmälan</t>
        </is>
      </c>
      <c r="C16" t="inlineStr">
        <is>
          <t>Avverkning för annat ändamål</t>
        </is>
      </c>
      <c r="D16" s="1" t="n">
        <v>46223</v>
      </c>
      <c r="E16" s="1" t="n">
        <v>46255</v>
      </c>
      <c r="F16" t="inlineStr">
        <is>
          <t>STOCKHOLMS LÄN</t>
        </is>
      </c>
      <c r="G16" t="inlineStr">
        <is>
          <t>HUDDINGE</t>
        </is>
      </c>
      <c r="H16" t="inlineStr">
        <is>
          <t>Kommuner</t>
        </is>
      </c>
      <c r="I16" t="n">
        <v>0.4</v>
      </c>
      <c r="J16" t="n">
        <v>0</v>
      </c>
      <c r="K16" t="n">
        <v>0</v>
      </c>
      <c r="L16" t="n">
        <v>0</v>
      </c>
      <c r="M16" t="n">
        <v>2</v>
      </c>
      <c r="N16" t="n">
        <v>0</v>
      </c>
      <c r="O16" t="n">
        <v>0</v>
      </c>
      <c r="P16" t="n">
        <v>0</v>
      </c>
      <c r="Q16" t="n">
        <v>2</v>
      </c>
      <c r="R16" t="n">
        <v>2</v>
      </c>
      <c r="S16" t="n">
        <v>2</v>
      </c>
      <c r="T16" t="n">
        <v>4</v>
      </c>
      <c r="U16" t="n">
        <v>0</v>
      </c>
      <c r="V16" s="2" t="inlineStr">
        <is>
          <t>Mindre blåvinge
Sexfläckig bastardsvärmare</t>
        </is>
      </c>
      <c r="W16">
        <f>HYPERLINK("https://klasma.github.io/Logging_0126/artfynd/A 31569-2026 artfynd.xlsx", "A 31569-2026")</f>
        <v/>
      </c>
      <c r="X16">
        <f>HYPERLINK("https://klasma.github.io/Logging_0126/kartor/A 31569-2026 karta.png", "A 31569-2026")</f>
        <v/>
      </c>
      <c r="Y16">
        <f>HYPERLINK("https://klasma.github.io/Logging_0126/kartor_geotiff/A 31569-2026 georefererad karta.tif", "A 31569-2026")</f>
        <v/>
      </c>
      <c r="AA16">
        <f>HYPERLINK("https://klasma.github.io/Logging_0126/klagomål/A 31569-2026 FSC-klagomål.docx", "A 31569-2026")</f>
        <v/>
      </c>
      <c r="AB16">
        <f>HYPERLINK("https://klasma.github.io/Logging_0126/klagomålsmail/A 31569-2026 FSC-klagomål mail.docx", "A 31569-2026")</f>
        <v/>
      </c>
      <c r="AC16">
        <f>HYPERLINK("https://klasma.github.io/Logging_0126/tillsyn/A 31569-2026 tillsynsbegäran.docx", "A 31569-2026")</f>
        <v/>
      </c>
      <c r="AD16">
        <f>HYPERLINK("https://klasma.github.io/Logging_0126/tillsynsmail/A 31569-2026 tillsynsbegäran mail.docx", "A 31569-2026")</f>
        <v/>
      </c>
    </row>
    <row r="17" ht="15" customHeight="1">
      <c r="A17" t="inlineStr">
        <is>
          <t>A 24368-2023</t>
        </is>
      </c>
      <c r="B17" t="inlineStr">
        <is>
          <t>avverkningsanmälan</t>
        </is>
      </c>
      <c r="C17" t="inlineStr">
        <is>
          <t>Föryngringsavverkning</t>
        </is>
      </c>
      <c r="D17" s="1" t="n">
        <v>45076</v>
      </c>
      <c r="E17" s="1" t="n">
        <v>46255</v>
      </c>
      <c r="F17" t="inlineStr">
        <is>
          <t>STOCKHOLMS LÄN</t>
        </is>
      </c>
      <c r="G17" t="inlineStr">
        <is>
          <t>HUDDINGE</t>
        </is>
      </c>
      <c r="I17" t="n">
        <v>3</v>
      </c>
      <c r="J17" t="n">
        <v>1</v>
      </c>
      <c r="K17" t="n">
        <v>1</v>
      </c>
      <c r="L17" t="n">
        <v>1</v>
      </c>
      <c r="M17" t="n">
        <v>0</v>
      </c>
      <c r="N17" t="n">
        <v>0</v>
      </c>
      <c r="O17" t="n">
        <v>0</v>
      </c>
      <c r="P17" t="n">
        <v>0</v>
      </c>
      <c r="Q17" t="n">
        <v>1</v>
      </c>
      <c r="R17" t="n">
        <v>0</v>
      </c>
      <c r="S17" t="n">
        <v>2</v>
      </c>
      <c r="T17" t="n">
        <v>2</v>
      </c>
      <c r="U17" t="n">
        <v>2</v>
      </c>
      <c r="V17" s="2" t="inlineStr">
        <is>
          <t>Motaggsvamp
Plattlummer</t>
        </is>
      </c>
      <c r="W17">
        <f>HYPERLINK("https://klasma.github.io/Logging_0126/artfynd/A 24368-2023 artfynd.xlsx", "A 24368-2023")</f>
        <v/>
      </c>
      <c r="X17">
        <f>HYPERLINK("https://klasma.github.io/Logging_0126/kartor/A 24368-2023 karta.png", "A 24368-2023")</f>
        <v/>
      </c>
      <c r="Y17">
        <f>HYPERLINK("https://klasma.github.io/Logging_0126/kartor_geotiff/A 24368-2023 georefererad karta.tif", "A 24368-2023")</f>
        <v/>
      </c>
      <c r="AA17">
        <f>HYPERLINK("https://klasma.github.io/Logging_0126/klagomål/A 24368-2023 FSC-klagomål.docx", "A 24368-2023")</f>
        <v/>
      </c>
      <c r="AB17">
        <f>HYPERLINK("https://klasma.github.io/Logging_0126/klagomålsmail/A 24368-2023 FSC-klagomål mail.docx", "A 24368-2023")</f>
        <v/>
      </c>
      <c r="AC17">
        <f>HYPERLINK("https://klasma.github.io/Logging_0126/tillsyn/A 24368-2023 tillsynsbegäran.docx", "A 24368-2023")</f>
        <v/>
      </c>
      <c r="AD17">
        <f>HYPERLINK("https://klasma.github.io/Logging_0126/tillsynsmail/A 24368-2023 tillsynsbegäran mail.docx", "A 24368-2023")</f>
        <v/>
      </c>
    </row>
    <row r="18" ht="15" customHeight="1">
      <c r="A18" t="inlineStr">
        <is>
          <t>A 24363-2023</t>
        </is>
      </c>
      <c r="B18" t="inlineStr">
        <is>
          <t>avverkningsanmälan</t>
        </is>
      </c>
      <c r="C18" t="inlineStr">
        <is>
          <t>Föryngringsavverkning</t>
        </is>
      </c>
      <c r="D18" s="1" t="n">
        <v>45076</v>
      </c>
      <c r="E18" s="1" t="n">
        <v>46255</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46255</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24262-2023</t>
        </is>
      </c>
      <c r="B20" t="inlineStr">
        <is>
          <t>avverkningsanmälan</t>
        </is>
      </c>
      <c r="C20" t="inlineStr">
        <is>
          <t>Föryngringsavverkning</t>
        </is>
      </c>
      <c r="D20" s="1" t="n">
        <v>45076</v>
      </c>
      <c r="E20" s="1" t="n">
        <v>46255</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31514-2026</t>
        </is>
      </c>
      <c r="B21" t="inlineStr">
        <is>
          <t>avverkningsanmälan</t>
        </is>
      </c>
      <c r="C21" t="inlineStr">
        <is>
          <t>Avverkning för annat ändamål</t>
        </is>
      </c>
      <c r="D21" s="1" t="n">
        <v>46223</v>
      </c>
      <c r="E21" s="1" t="n">
        <v>46255</v>
      </c>
      <c r="F21" t="inlineStr">
        <is>
          <t>STOCKHOLMS LÄN</t>
        </is>
      </c>
      <c r="G21" t="inlineStr">
        <is>
          <t>HUDDINGE</t>
        </is>
      </c>
      <c r="H21" t="inlineStr">
        <is>
          <t>Kommuner</t>
        </is>
      </c>
      <c r="I21" t="n">
        <v>1</v>
      </c>
      <c r="J21" t="n">
        <v>0</v>
      </c>
      <c r="K21" t="n">
        <v>1</v>
      </c>
      <c r="L21" t="n">
        <v>0</v>
      </c>
      <c r="M21" t="n">
        <v>0</v>
      </c>
      <c r="N21" t="n">
        <v>0</v>
      </c>
      <c r="O21" t="n">
        <v>0</v>
      </c>
      <c r="P21" t="n">
        <v>0</v>
      </c>
      <c r="Q21" t="n">
        <v>0</v>
      </c>
      <c r="R21" t="n">
        <v>0</v>
      </c>
      <c r="S21" t="n">
        <v>1</v>
      </c>
      <c r="T21" t="n">
        <v>2</v>
      </c>
      <c r="U21" t="n">
        <v>0</v>
      </c>
      <c r="V21" s="2" t="inlineStr">
        <is>
          <t>Tibast</t>
        </is>
      </c>
      <c r="W21">
        <f>HYPERLINK("https://klasma.github.io/Logging_0126/artfynd/A 31514-2026 artfynd.xlsx", "A 31514-2026")</f>
        <v/>
      </c>
      <c r="X21">
        <f>HYPERLINK("https://klasma.github.io/Logging_0126/kartor/A 31514-2026 karta.png", "A 31514-2026")</f>
        <v/>
      </c>
      <c r="Y21">
        <f>HYPERLINK("https://klasma.github.io/Logging_0126/kartor_geotiff/A 31514-2026 georefererad karta.tif", "A 31514-2026")</f>
        <v/>
      </c>
      <c r="AA21">
        <f>HYPERLINK("https://klasma.github.io/Logging_0126/klagomål/A 31514-2026 FSC-klagomål.docx", "A 31514-2026")</f>
        <v/>
      </c>
      <c r="AB21">
        <f>HYPERLINK("https://klasma.github.io/Logging_0126/klagomålsmail/A 31514-2026 FSC-klagomål mail.docx", "A 31514-2026")</f>
        <v/>
      </c>
      <c r="AC21">
        <f>HYPERLINK("https://klasma.github.io/Logging_0126/tillsyn/A 31514-2026 tillsynsbegäran.docx", "A 31514-2026")</f>
        <v/>
      </c>
      <c r="AD21">
        <f>HYPERLINK("https://klasma.github.io/Logging_0126/tillsynsmail/A 31514-2026 tillsynsbegäran mail.docx", "A 31514-2026")</f>
        <v/>
      </c>
    </row>
    <row r="22" ht="15" customHeight="1">
      <c r="A22" t="inlineStr">
        <is>
          <t>A 31568-2026</t>
        </is>
      </c>
      <c r="B22" t="inlineStr">
        <is>
          <t>avverkningsanmälan</t>
        </is>
      </c>
      <c r="C22" t="inlineStr">
        <is>
          <t>Avverkning för annat ändamål</t>
        </is>
      </c>
      <c r="D22" s="1" t="n">
        <v>46223</v>
      </c>
      <c r="E22" s="1" t="n">
        <v>46255</v>
      </c>
      <c r="F22" t="inlineStr">
        <is>
          <t>STOCKHOLMS LÄN</t>
        </is>
      </c>
      <c r="G22" t="inlineStr">
        <is>
          <t>HUDDINGE</t>
        </is>
      </c>
      <c r="H22" t="inlineStr">
        <is>
          <t>Kommuner</t>
        </is>
      </c>
      <c r="I22" t="n">
        <v>0.2</v>
      </c>
      <c r="J22" t="n">
        <v>1</v>
      </c>
      <c r="K22" t="n">
        <v>0</v>
      </c>
      <c r="L22" t="n">
        <v>0</v>
      </c>
      <c r="M22" t="n">
        <v>0</v>
      </c>
      <c r="N22" t="n">
        <v>0</v>
      </c>
      <c r="O22" t="n">
        <v>0</v>
      </c>
      <c r="P22" t="n">
        <v>0</v>
      </c>
      <c r="Q22" t="n">
        <v>0</v>
      </c>
      <c r="R22" t="n">
        <v>0</v>
      </c>
      <c r="S22" t="n">
        <v>1</v>
      </c>
      <c r="T22" t="n">
        <v>1</v>
      </c>
      <c r="U22" t="n">
        <v>0</v>
      </c>
      <c r="V22" s="2" t="inlineStr">
        <is>
          <t>Skogsödla</t>
        </is>
      </c>
      <c r="W22">
        <f>HYPERLINK("https://klasma.github.io/Logging_0126/artfynd/A 31568-2026 artfynd.xlsx", "A 31568-2026")</f>
        <v/>
      </c>
      <c r="X22">
        <f>HYPERLINK("https://klasma.github.io/Logging_0126/kartor/A 31568-2026 karta.png", "A 31568-2026")</f>
        <v/>
      </c>
      <c r="Y22">
        <f>HYPERLINK("https://klasma.github.io/Logging_0126/kartor_geotiff/A 31568-2026 georefererad karta.tif", "A 31568-2026")</f>
        <v/>
      </c>
      <c r="AA22">
        <f>HYPERLINK("https://klasma.github.io/Logging_0126/klagomål/A 31568-2026 FSC-klagomål.docx", "A 31568-2026")</f>
        <v/>
      </c>
      <c r="AB22">
        <f>HYPERLINK("https://klasma.github.io/Logging_0126/klagomålsmail/A 31568-2026 FSC-klagomål mail.docx", "A 31568-2026")</f>
        <v/>
      </c>
      <c r="AC22">
        <f>HYPERLINK("https://klasma.github.io/Logging_0126/tillsyn/A 31568-2026 tillsynsbegäran.docx", "A 31568-2026")</f>
        <v/>
      </c>
      <c r="AD22">
        <f>HYPERLINK("https://klasma.github.io/Logging_0126/tillsynsmail/A 31568-2026 tillsynsbegäran mail.docx", "A 31568-2026")</f>
        <v/>
      </c>
    </row>
    <row r="23" ht="15" customHeight="1">
      <c r="A23" t="inlineStr">
        <is>
          <t>A 31633-2026</t>
        </is>
      </c>
      <c r="B23" t="inlineStr">
        <is>
          <t>avverkningsanmälan</t>
        </is>
      </c>
      <c r="C23" t="inlineStr">
        <is>
          <t>Avverkning för annat ändamål</t>
        </is>
      </c>
      <c r="D23" s="1" t="n">
        <v>46223</v>
      </c>
      <c r="E23" s="1" t="n">
        <v>46255</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31795-2026</t>
        </is>
      </c>
      <c r="B24" t="inlineStr">
        <is>
          <t>avverkningsanmälan</t>
        </is>
      </c>
      <c r="C24" t="inlineStr">
        <is>
          <t>Avverkning för annat ändamål</t>
        </is>
      </c>
      <c r="D24" s="1" t="n">
        <v>46230</v>
      </c>
      <c r="E24" s="1" t="n">
        <v>46255</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46255</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47173-2022</t>
        </is>
      </c>
      <c r="B26" t="inlineStr">
        <is>
          <t>avverkningsanmälan</t>
        </is>
      </c>
      <c r="C26" t="inlineStr">
        <is>
          <t>Föryngringsavverkning</t>
        </is>
      </c>
      <c r="D26" s="1" t="n">
        <v>44852</v>
      </c>
      <c r="E26" s="1" t="n">
        <v>46255</v>
      </c>
      <c r="F26" t="inlineStr">
        <is>
          <t>STOCKHOLMS LÄN</t>
        </is>
      </c>
      <c r="G26" t="inlineStr">
        <is>
          <t>HUDDINGE</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31246-2022</t>
        </is>
      </c>
      <c r="B27" t="inlineStr">
        <is>
          <t>avverkningsanmälan</t>
        </is>
      </c>
      <c r="C27" t="inlineStr">
        <is>
          <t>Avverkning för annat ändamål</t>
        </is>
      </c>
      <c r="D27" s="1" t="n">
        <v>44771</v>
      </c>
      <c r="E27" s="1" t="n">
        <v>46255</v>
      </c>
      <c r="F27" t="inlineStr">
        <is>
          <t>STOCKHOLMS LÄN</t>
        </is>
      </c>
      <c r="G27" t="inlineStr">
        <is>
          <t>HUDDINGE</t>
        </is>
      </c>
      <c r="I27" t="n">
        <v>4.3</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46255</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31650-2026</t>
        </is>
      </c>
      <c r="B29" t="inlineStr">
        <is>
          <t>avverkningsanmälan</t>
        </is>
      </c>
      <c r="C29" t="inlineStr">
        <is>
          <t>Avverkning för annat ändamål</t>
        </is>
      </c>
      <c r="D29" s="1" t="n">
        <v>46225</v>
      </c>
      <c r="E29" s="1" t="n">
        <v>46255</v>
      </c>
      <c r="F29" t="inlineStr">
        <is>
          <t>STOCKHOLMS LÄN</t>
        </is>
      </c>
      <c r="G29" t="inlineStr">
        <is>
          <t>HUDDINGE</t>
        </is>
      </c>
      <c r="H29" t="inlineStr">
        <is>
          <t>Kommuner</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46255</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46255</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27561-2025</t>
        </is>
      </c>
      <c r="B32" t="inlineStr">
        <is>
          <t>avverkningsanmälan</t>
        </is>
      </c>
      <c r="C32" t="inlineStr">
        <is>
          <t>Föryngringsavverkning</t>
        </is>
      </c>
      <c r="D32" s="1" t="n">
        <v>45813</v>
      </c>
      <c r="E32" s="1" t="n">
        <v>46255</v>
      </c>
      <c r="F32" t="inlineStr">
        <is>
          <t>STOCKHOLMS LÄN</t>
        </is>
      </c>
      <c r="G32" t="inlineStr">
        <is>
          <t>HUDDINGE</t>
        </is>
      </c>
      <c r="I32" t="n">
        <v>0.7</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2026-08-21T01:52:12Z</dcterms:created>
  <dcterms:modified xmlns:dcterms="http://purl.org/dc/terms/" xmlns:xsi="http://www.w3.org/2001/XMLSchema-instance" xsi:type="dcterms:W3CDTF">2026-08-21T01:52:12Z</dcterms:modified>
</cp:coreProperties>
</file>