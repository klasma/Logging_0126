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49421-2023</t>
        </is>
      </c>
      <c r="B8" s="1" t="n">
        <v>45211</v>
      </c>
      <c r="C8" s="1" t="n">
        <v>45886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Grönfink</t>
        </is>
      </c>
      <c r="S8">
        <f>HYPERLINK("https://klasma.github.io/Logging_0126/artfynd/A 49421-2023 artfynd.xlsx", "A 49421-2023")</f>
        <v/>
      </c>
      <c r="T8">
        <f>HYPERLINK("https://klasma.github.io/Logging_0126/kartor/A 49421-2023 karta.png", "A 49421-2023")</f>
        <v/>
      </c>
      <c r="V8">
        <f>HYPERLINK("https://klasma.github.io/Logging_0126/klagomål/A 49421-2023 FSC-klagomål.docx", "A 49421-2023")</f>
        <v/>
      </c>
      <c r="W8">
        <f>HYPERLINK("https://klasma.github.io/Logging_0126/klagomålsmail/A 49421-2023 FSC-klagomål mail.docx", "A 49421-2023")</f>
        <v/>
      </c>
      <c r="X8">
        <f>HYPERLINK("https://klasma.github.io/Logging_0126/tillsyn/A 49421-2023 tillsynsbegäran.docx", "A 49421-2023")</f>
        <v/>
      </c>
      <c r="Y8">
        <f>HYPERLINK("https://klasma.github.io/Logging_0126/tillsynsmail/A 49421-2023 tillsynsbegäran mail.docx", "A 49421-2023")</f>
        <v/>
      </c>
      <c r="Z8">
        <f>HYPERLINK("https://klasma.github.io/Logging_0126/fåglar/A 49421-2023 prioriterade fågelarter.docx", "A 49421-2023")</f>
        <v/>
      </c>
    </row>
    <row r="9" ht="15" customHeight="1">
      <c r="A9" t="inlineStr">
        <is>
          <t>A 24233-2023</t>
        </is>
      </c>
      <c r="B9" s="1" t="n">
        <v>45076</v>
      </c>
      <c r="C9" s="1" t="n">
        <v>45886</v>
      </c>
      <c r="D9" t="inlineStr">
        <is>
          <t>STOCKHOLMS LÄN</t>
        </is>
      </c>
      <c r="E9" t="inlineStr">
        <is>
          <t>HUDDINGE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taggsvamp</t>
        </is>
      </c>
      <c r="S9">
        <f>HYPERLINK("https://klasma.github.io/Logging_0126/artfynd/A 24233-2023 artfynd.xlsx", "A 24233-2023")</f>
        <v/>
      </c>
      <c r="T9">
        <f>HYPERLINK("https://klasma.github.io/Logging_0126/kartor/A 24233-2023 karta.png", "A 24233-2023")</f>
        <v/>
      </c>
      <c r="V9">
        <f>HYPERLINK("https://klasma.github.io/Logging_0126/klagomål/A 24233-2023 FSC-klagomål.docx", "A 24233-2023")</f>
        <v/>
      </c>
      <c r="W9">
        <f>HYPERLINK("https://klasma.github.io/Logging_0126/klagomålsmail/A 24233-2023 FSC-klagomål mail.docx", "A 24233-2023")</f>
        <v/>
      </c>
      <c r="X9">
        <f>HYPERLINK("https://klasma.github.io/Logging_0126/tillsyn/A 24233-2023 tillsynsbegäran.docx", "A 24233-2023")</f>
        <v/>
      </c>
      <c r="Y9">
        <f>HYPERLINK("https://klasma.github.io/Logging_0126/tillsynsmail/A 24233-2023 tillsynsbegäran mail.docx", "A 24233-2023")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45886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45886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45886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17467-2024</t>
        </is>
      </c>
      <c r="B14" s="1" t="n">
        <v>45415.44597222222</v>
      </c>
      <c r="C14" s="1" t="n">
        <v>45886</v>
      </c>
      <c r="D14" t="inlineStr">
        <is>
          <t>STOCKHOLMS LÄN</t>
        </is>
      </c>
      <c r="E14" t="inlineStr">
        <is>
          <t>HUDDINGE</t>
        </is>
      </c>
      <c r="G14" t="n">
        <v>14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45886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27589-2025</t>
        </is>
      </c>
      <c r="B16" s="1" t="n">
        <v>45813.51070601852</v>
      </c>
      <c r="C16" s="1" t="n">
        <v>45886</v>
      </c>
      <c r="D16" t="inlineStr">
        <is>
          <t>STOCKHOLMS LÄN</t>
        </is>
      </c>
      <c r="E16" t="inlineStr">
        <is>
          <t>HUDDINGE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27561-2025</t>
        </is>
      </c>
      <c r="B17" s="1" t="n">
        <v>45813.48378472222</v>
      </c>
      <c r="C17" s="1" t="n">
        <v>45886</v>
      </c>
      <c r="D17" t="inlineStr">
        <is>
          <t>STOCKHOLMS LÄN</t>
        </is>
      </c>
      <c r="E17" t="inlineStr">
        <is>
          <t>HUDDINGE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31246-2022</t>
        </is>
      </c>
      <c r="B18" s="1" t="n">
        <v>44771</v>
      </c>
      <c r="C18" s="1" t="n">
        <v>45886</v>
      </c>
      <c r="D18" t="inlineStr">
        <is>
          <t>STOCKHOLMS LÄN</t>
        </is>
      </c>
      <c r="E18" t="inlineStr">
        <is>
          <t>HUDDINGE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45886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45886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45886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45886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47173-2022</t>
        </is>
      </c>
      <c r="B23" s="1" t="n">
        <v>44852</v>
      </c>
      <c r="C23" s="1" t="n">
        <v>45886</v>
      </c>
      <c r="D23" t="inlineStr">
        <is>
          <t>STOCKHOLMS LÄN</t>
        </is>
      </c>
      <c r="E23" t="inlineStr">
        <is>
          <t>HUDDINGE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2025-08-17T08:28:56Z</dcterms:created>
  <dcterms:modified xmlns:dcterms="http://purl.org/dc/terms/" xmlns:xsi="http://www.w3.org/2001/XMLSchema-instance" xsi:type="dcterms:W3CDTF">2025-08-17T08:28:56Z</dcterms:modified>
</cp:coreProperties>
</file>