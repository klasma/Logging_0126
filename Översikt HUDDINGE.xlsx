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45941</v>
      </c>
      <c r="D2" t="inlineStr">
        <is>
          <t>STOCKHOLMS LÄN</t>
        </is>
      </c>
      <c r="E2" t="inlineStr">
        <is>
          <t>HUDDINGE</t>
        </is>
      </c>
      <c r="G2" t="n">
        <v>21.4</v>
      </c>
      <c r="H2" t="n">
        <v>4</v>
      </c>
      <c r="I2" t="n">
        <v>17</v>
      </c>
      <c r="J2" t="n">
        <v>10</v>
      </c>
      <c r="K2" t="n">
        <v>3</v>
      </c>
      <c r="L2" t="n">
        <v>0</v>
      </c>
      <c r="M2" t="n">
        <v>0</v>
      </c>
      <c r="N2" t="n">
        <v>0</v>
      </c>
      <c r="O2" t="n">
        <v>13</v>
      </c>
      <c r="P2" t="n">
        <v>3</v>
      </c>
      <c r="Q2" t="n">
        <v>31</v>
      </c>
      <c r="R2" s="2" t="inlineStr">
        <is>
          <t>Knärot
Rosetticka
Rynkskinn
Brunpudrad nållav
Granticka
Motaggsvamp
Orange taggsvamp
Scharlakansvaxing
Spillkråka
Tallticka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45941</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45941</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52259-2024</t>
        </is>
      </c>
      <c r="B5" s="1" t="n">
        <v>45608.6471875</v>
      </c>
      <c r="C5" s="1" t="n">
        <v>45941</v>
      </c>
      <c r="D5" t="inlineStr">
        <is>
          <t>STOCKHOLMS LÄN</t>
        </is>
      </c>
      <c r="E5" t="inlineStr">
        <is>
          <t>HUDDINGE</t>
        </is>
      </c>
      <c r="F5" t="inlineStr">
        <is>
          <t>Kommuner</t>
        </is>
      </c>
      <c r="G5" t="n">
        <v>11.8</v>
      </c>
      <c r="H5" t="n">
        <v>5</v>
      </c>
      <c r="I5" t="n">
        <v>0</v>
      </c>
      <c r="J5" t="n">
        <v>2</v>
      </c>
      <c r="K5" t="n">
        <v>0</v>
      </c>
      <c r="L5" t="n">
        <v>0</v>
      </c>
      <c r="M5" t="n">
        <v>0</v>
      </c>
      <c r="N5" t="n">
        <v>0</v>
      </c>
      <c r="O5" t="n">
        <v>2</v>
      </c>
      <c r="P5" t="n">
        <v>0</v>
      </c>
      <c r="Q5" t="n">
        <v>5</v>
      </c>
      <c r="R5" s="2" t="inlineStr">
        <is>
          <t>Gulsparv
Svartvit flugsnappare
Dvärgpipistrell
Grönsiska
Större brunfladdermus</t>
        </is>
      </c>
      <c r="S5">
        <f>HYPERLINK("https://klasma.github.io/Logging_0126/artfynd/A 52259-2024 artfynd.xlsx", "A 52259-2024")</f>
        <v/>
      </c>
      <c r="T5">
        <f>HYPERLINK("https://klasma.github.io/Logging_0126/kartor/A 52259-2024 karta.png", "A 52259-2024")</f>
        <v/>
      </c>
      <c r="V5">
        <f>HYPERLINK("https://klasma.github.io/Logging_0126/klagomål/A 52259-2024 FSC-klagomål.docx", "A 52259-2024")</f>
        <v/>
      </c>
      <c r="W5">
        <f>HYPERLINK("https://klasma.github.io/Logging_0126/klagomålsmail/A 52259-2024 FSC-klagomål mail.docx", "A 52259-2024")</f>
        <v/>
      </c>
      <c r="X5">
        <f>HYPERLINK("https://klasma.github.io/Logging_0126/tillsyn/A 52259-2024 tillsynsbegäran.docx", "A 52259-2024")</f>
        <v/>
      </c>
      <c r="Y5">
        <f>HYPERLINK("https://klasma.github.io/Logging_0126/tillsynsmail/A 52259-2024 tillsynsbegäran mail.docx", "A 52259-2024")</f>
        <v/>
      </c>
      <c r="Z5">
        <f>HYPERLINK("https://klasma.github.io/Logging_0126/fåglar/A 52259-2024 prioriterade fågelarter.docx", "A 52259-2024")</f>
        <v/>
      </c>
    </row>
    <row r="6" ht="15" customHeight="1">
      <c r="A6" t="inlineStr">
        <is>
          <t>A 24365-2023</t>
        </is>
      </c>
      <c r="B6" s="1" t="n">
        <v>45076</v>
      </c>
      <c r="C6" s="1" t="n">
        <v>45941</v>
      </c>
      <c r="D6" t="inlineStr">
        <is>
          <t>STOCKHOLMS LÄN</t>
        </is>
      </c>
      <c r="E6" t="inlineStr">
        <is>
          <t>HUDDINGE</t>
        </is>
      </c>
      <c r="G6" t="n">
        <v>0.7</v>
      </c>
      <c r="H6" t="n">
        <v>0</v>
      </c>
      <c r="I6" t="n">
        <v>3</v>
      </c>
      <c r="J6" t="n">
        <v>1</v>
      </c>
      <c r="K6" t="n">
        <v>0</v>
      </c>
      <c r="L6" t="n">
        <v>0</v>
      </c>
      <c r="M6" t="n">
        <v>0</v>
      </c>
      <c r="N6" t="n">
        <v>0</v>
      </c>
      <c r="O6" t="n">
        <v>1</v>
      </c>
      <c r="P6" t="n">
        <v>0</v>
      </c>
      <c r="Q6" t="n">
        <v>4</v>
      </c>
      <c r="R6" s="2" t="inlineStr">
        <is>
          <t>Motaggsvamp
Björksplintborre
Blåmossa
Jättesvampmal</t>
        </is>
      </c>
      <c r="S6">
        <f>HYPERLINK("https://klasma.github.io/Logging_0126/artfynd/A 24365-2023 artfynd.xlsx", "A 24365-2023")</f>
        <v/>
      </c>
      <c r="T6">
        <f>HYPERLINK("https://klasma.github.io/Logging_0126/kartor/A 24365-2023 karta.png", "A 24365-2023")</f>
        <v/>
      </c>
      <c r="V6">
        <f>HYPERLINK("https://klasma.github.io/Logging_0126/klagomål/A 24365-2023 FSC-klagomål.docx", "A 24365-2023")</f>
        <v/>
      </c>
      <c r="W6">
        <f>HYPERLINK("https://klasma.github.io/Logging_0126/klagomålsmail/A 24365-2023 FSC-klagomål mail.docx", "A 24365-2023")</f>
        <v/>
      </c>
      <c r="X6">
        <f>HYPERLINK("https://klasma.github.io/Logging_0126/tillsyn/A 24365-2023 tillsynsbegäran.docx", "A 24365-2023")</f>
        <v/>
      </c>
      <c r="Y6">
        <f>HYPERLINK("https://klasma.github.io/Logging_0126/tillsynsmail/A 24365-2023 tillsynsbegäran mail.docx", "A 24365-2023")</f>
        <v/>
      </c>
    </row>
    <row r="7" ht="15" customHeight="1">
      <c r="A7" t="inlineStr">
        <is>
          <t>A 49419-2023</t>
        </is>
      </c>
      <c r="B7" s="1" t="n">
        <v>45211</v>
      </c>
      <c r="C7" s="1" t="n">
        <v>45941</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17467-2024</t>
        </is>
      </c>
      <c r="B8" s="1" t="n">
        <v>45415.44597222222</v>
      </c>
      <c r="C8" s="1" t="n">
        <v>45941</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9945-2021</t>
        </is>
      </c>
      <c r="B9" s="1" t="n">
        <v>44253</v>
      </c>
      <c r="C9" s="1" t="n">
        <v>45941</v>
      </c>
      <c r="D9" t="inlineStr">
        <is>
          <t>STOCKHOLMS LÄN</t>
        </is>
      </c>
      <c r="E9" t="inlineStr">
        <is>
          <t>HUDDINGE</t>
        </is>
      </c>
      <c r="F9" t="inlineStr">
        <is>
          <t>Kommuner</t>
        </is>
      </c>
      <c r="G9" t="n">
        <v>3</v>
      </c>
      <c r="H9" t="n">
        <v>1</v>
      </c>
      <c r="I9" t="n">
        <v>0</v>
      </c>
      <c r="J9" t="n">
        <v>0</v>
      </c>
      <c r="K9" t="n">
        <v>0</v>
      </c>
      <c r="L9" t="n">
        <v>0</v>
      </c>
      <c r="M9" t="n">
        <v>0</v>
      </c>
      <c r="N9" t="n">
        <v>0</v>
      </c>
      <c r="O9" t="n">
        <v>0</v>
      </c>
      <c r="P9" t="n">
        <v>0</v>
      </c>
      <c r="Q9" t="n">
        <v>1</v>
      </c>
      <c r="R9" s="2" t="inlineStr">
        <is>
          <t>Nattskärra</t>
        </is>
      </c>
      <c r="S9">
        <f>HYPERLINK("https://klasma.github.io/Logging_0126/artfynd/A 9945-2021 artfynd.xlsx", "A 9945-2021")</f>
        <v/>
      </c>
      <c r="T9">
        <f>HYPERLINK("https://klasma.github.io/Logging_0126/kartor/A 9945-2021 karta.png", "A 9945-2021")</f>
        <v/>
      </c>
      <c r="V9">
        <f>HYPERLINK("https://klasma.github.io/Logging_0126/klagomål/A 9945-2021 FSC-klagomål.docx", "A 9945-2021")</f>
        <v/>
      </c>
      <c r="W9">
        <f>HYPERLINK("https://klasma.github.io/Logging_0126/klagomålsmail/A 9945-2021 FSC-klagomål mail.docx", "A 9945-2021")</f>
        <v/>
      </c>
      <c r="X9">
        <f>HYPERLINK("https://klasma.github.io/Logging_0126/tillsyn/A 9945-2021 tillsynsbegäran.docx", "A 9945-2021")</f>
        <v/>
      </c>
      <c r="Y9">
        <f>HYPERLINK("https://klasma.github.io/Logging_0126/tillsynsmail/A 9945-2021 tillsynsbegäran mail.docx", "A 9945-2021")</f>
        <v/>
      </c>
      <c r="Z9">
        <f>HYPERLINK("https://klasma.github.io/Logging_0126/fåglar/A 9945-2021 prioriterade fågelarter.docx", "A 9945-2021")</f>
        <v/>
      </c>
    </row>
    <row r="10" ht="15" customHeight="1">
      <c r="A10" t="inlineStr">
        <is>
          <t>A 49421-2023</t>
        </is>
      </c>
      <c r="B10" s="1" t="n">
        <v>45211</v>
      </c>
      <c r="C10" s="1" t="n">
        <v>45941</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45941</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45941</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45941</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45941</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45941</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58260-2020</t>
        </is>
      </c>
      <c r="B16" s="1" t="n">
        <v>44144</v>
      </c>
      <c r="C16" s="1" t="n">
        <v>45941</v>
      </c>
      <c r="D16" t="inlineStr">
        <is>
          <t>STOCKHOLMS LÄN</t>
        </is>
      </c>
      <c r="E16" t="inlineStr">
        <is>
          <t>HUDDINGE</t>
        </is>
      </c>
      <c r="F16" t="inlineStr">
        <is>
          <t>Kommuner</t>
        </is>
      </c>
      <c r="G16" t="n">
        <v>1.5</v>
      </c>
      <c r="H16" t="n">
        <v>0</v>
      </c>
      <c r="I16" t="n">
        <v>0</v>
      </c>
      <c r="J16" t="n">
        <v>0</v>
      </c>
      <c r="K16" t="n">
        <v>0</v>
      </c>
      <c r="L16" t="n">
        <v>0</v>
      </c>
      <c r="M16" t="n">
        <v>0</v>
      </c>
      <c r="N16" t="n">
        <v>0</v>
      </c>
      <c r="O16" t="n">
        <v>0</v>
      </c>
      <c r="P16" t="n">
        <v>0</v>
      </c>
      <c r="Q16" t="n">
        <v>0</v>
      </c>
      <c r="R16" s="2" t="inlineStr"/>
    </row>
    <row r="17" ht="15" customHeight="1">
      <c r="A17" t="inlineStr">
        <is>
          <t>A 27589-2025</t>
        </is>
      </c>
      <c r="B17" s="1" t="n">
        <v>45813.51070601852</v>
      </c>
      <c r="C17" s="1" t="n">
        <v>45941</v>
      </c>
      <c r="D17" t="inlineStr">
        <is>
          <t>STOCKHOLMS LÄN</t>
        </is>
      </c>
      <c r="E17" t="inlineStr">
        <is>
          <t>HUDDINGE</t>
        </is>
      </c>
      <c r="G17" t="n">
        <v>2.7</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45941</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45941</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45941</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24254-2023</t>
        </is>
      </c>
      <c r="B21" s="1" t="n">
        <v>45076</v>
      </c>
      <c r="C21" s="1" t="n">
        <v>45941</v>
      </c>
      <c r="D21" t="inlineStr">
        <is>
          <t>STOCKHOLMS LÄN</t>
        </is>
      </c>
      <c r="E21" t="inlineStr">
        <is>
          <t>HUDDINGE</t>
        </is>
      </c>
      <c r="G21" t="n">
        <v>1.2</v>
      </c>
      <c r="H21" t="n">
        <v>0</v>
      </c>
      <c r="I21" t="n">
        <v>0</v>
      </c>
      <c r="J21" t="n">
        <v>0</v>
      </c>
      <c r="K21" t="n">
        <v>0</v>
      </c>
      <c r="L21" t="n">
        <v>0</v>
      </c>
      <c r="M21" t="n">
        <v>0</v>
      </c>
      <c r="N21" t="n">
        <v>0</v>
      </c>
      <c r="O21" t="n">
        <v>0</v>
      </c>
      <c r="P21" t="n">
        <v>0</v>
      </c>
      <c r="Q21" t="n">
        <v>0</v>
      </c>
      <c r="R21" s="2" t="inlineStr"/>
    </row>
    <row r="22" ht="15" customHeight="1">
      <c r="A22" t="inlineStr">
        <is>
          <t>A 24257-2023</t>
        </is>
      </c>
      <c r="B22" s="1" t="n">
        <v>45076</v>
      </c>
      <c r="C22" s="1" t="n">
        <v>45941</v>
      </c>
      <c r="D22" t="inlineStr">
        <is>
          <t>STOCKHOLMS LÄN</t>
        </is>
      </c>
      <c r="E22" t="inlineStr">
        <is>
          <t>HUDDINGE</t>
        </is>
      </c>
      <c r="G22" t="n">
        <v>1</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45941</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47173-2022</t>
        </is>
      </c>
      <c r="B24" s="1" t="n">
        <v>44852</v>
      </c>
      <c r="C24" s="1" t="n">
        <v>45941</v>
      </c>
      <c r="D24" t="inlineStr">
        <is>
          <t>STOCKHOLMS LÄN</t>
        </is>
      </c>
      <c r="E24" t="inlineStr">
        <is>
          <t>HUDDINGE</t>
        </is>
      </c>
      <c r="G24" t="n">
        <v>1.9</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2025-10-11T12:36:39Z</dcterms:created>
  <dcterms:modified xmlns:dcterms="http://purl.org/dc/terms/" xmlns:xsi="http://www.w3.org/2001/XMLSchema-instance" xsi:type="dcterms:W3CDTF">2025-10-11T12:36:39Z</dcterms:modified>
</cp:coreProperties>
</file>