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46304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46304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46304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46304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46304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46304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46304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46304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46304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46304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46304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46304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46304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46304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46304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46304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46304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46304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24233-2023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46304</v>
      </c>
      <c r="F20" t="inlineStr">
        <is>
          <t>STOCKHOLMS LÄN</t>
        </is>
      </c>
      <c r="G20" t="inlineStr">
        <is>
          <t>HUDDINGE</t>
        </is>
      </c>
      <c r="I20" t="n">
        <v>3.7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Svartvit taggsvamp</t>
        </is>
      </c>
      <c r="W20">
        <f>HYPERLINK("https://klasma.github.io/Logging_0126/artfynd/A 24233-2023 artfynd.xlsx", "A 24233-2023")</f>
        <v/>
      </c>
      <c r="X20">
        <f>HYPERLINK("https://klasma.github.io/Logging_0126/kartor/A 24233-2023 karta.png", "A 24233-2023")</f>
        <v/>
      </c>
      <c r="Y20">
        <f>HYPERLINK("https://klasma.github.io/Logging_0126/kartor_geotiff/A 24233-2023 georefererad karta.tif", "A 24233-2023")</f>
        <v/>
      </c>
      <c r="AA20">
        <f>HYPERLINK("https://klasma.github.io/Logging_0126/klagomål/A 24233-2023 FSC-klagomål.docx", "A 24233-2023")</f>
        <v/>
      </c>
      <c r="AB20">
        <f>HYPERLINK("https://klasma.github.io/Logging_0126/klagomålsmail/A 24233-2023 FSC-klagomål mail.docx", "A 24233-2023")</f>
        <v/>
      </c>
      <c r="AC20">
        <f>HYPERLINK("https://klasma.github.io/Logging_0126/tillsyn/A 24233-2023 tillsynsbegäran.docx", "A 24233-2023")</f>
        <v/>
      </c>
      <c r="AD20">
        <f>HYPERLINK("https://klasma.github.io/Logging_0126/tillsynsmail/A 24233-2023 tillsynsbegäran mail.docx", "A 24233-2023")</f>
        <v/>
      </c>
    </row>
    <row r="21" ht="15" customHeight="1">
      <c r="A21" t="inlineStr">
        <is>
          <t>A 31633-2026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46304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Kopparödla</t>
        </is>
      </c>
      <c r="W21">
        <f>HYPERLINK("https://klasma.github.io/Logging_0126/artfynd/A 31633-2026 artfynd.xlsx", "A 31633-2026")</f>
        <v/>
      </c>
      <c r="X21">
        <f>HYPERLINK("https://klasma.github.io/Logging_0126/kartor/A 31633-2026 karta.png", "A 31633-2026")</f>
        <v/>
      </c>
      <c r="Y21">
        <f>HYPERLINK("https://klasma.github.io/Logging_0126/kartor_geotiff/A 31633-2026 georefererad karta.tif", "A 31633-2026")</f>
        <v/>
      </c>
      <c r="AA21">
        <f>HYPERLINK("https://klasma.github.io/Logging_0126/klagomål/A 31633-2026 FSC-klagomål.docx", "A 31633-2026")</f>
        <v/>
      </c>
      <c r="AB21">
        <f>HYPERLINK("https://klasma.github.io/Logging_0126/klagomålsmail/A 31633-2026 FSC-klagomål mail.docx", "A 31633-2026")</f>
        <v/>
      </c>
      <c r="AC21">
        <f>HYPERLINK("https://klasma.github.io/Logging_0126/tillsyn/A 31633-2026 tillsynsbegäran.docx", "A 31633-2026")</f>
        <v/>
      </c>
      <c r="AD21">
        <f>HYPERLINK("https://klasma.github.io/Logging_0126/tillsynsmail/A 31633-2026 tillsynsbegäran mail.docx", "A 31633-2026")</f>
        <v/>
      </c>
    </row>
    <row r="22" ht="15" customHeight="1">
      <c r="A22" t="inlineStr">
        <is>
          <t>A 31514-2026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46304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Tibast</t>
        </is>
      </c>
      <c r="W22">
        <f>HYPERLINK("https://klasma.github.io/Logging_0126/artfynd/A 31514-2026 artfynd.xlsx", "A 31514-2026")</f>
        <v/>
      </c>
      <c r="X22">
        <f>HYPERLINK("https://klasma.github.io/Logging_0126/kartor/A 31514-2026 karta.png", "A 31514-2026")</f>
        <v/>
      </c>
      <c r="Y22">
        <f>HYPERLINK("https://klasma.github.io/Logging_0126/kartor_geotiff/A 31514-2026 georefererad karta.tif", "A 31514-2026")</f>
        <v/>
      </c>
      <c r="AA22">
        <f>HYPERLINK("https://klasma.github.io/Logging_0126/klagomål/A 31514-2026 FSC-klagomål.docx", "A 31514-2026")</f>
        <v/>
      </c>
      <c r="AB22">
        <f>HYPERLINK("https://klasma.github.io/Logging_0126/klagomålsmail/A 31514-2026 FSC-klagomål mail.docx", "A 31514-2026")</f>
        <v/>
      </c>
      <c r="AC22">
        <f>HYPERLINK("https://klasma.github.io/Logging_0126/tillsyn/A 31514-2026 tillsynsbegäran.docx", "A 31514-2026")</f>
        <v/>
      </c>
      <c r="AD22">
        <f>HYPERLINK("https://klasma.github.io/Logging_0126/tillsynsmail/A 31514-2026 tillsynsbegäran mail.docx", "A 31514-2026")</f>
        <v/>
      </c>
    </row>
    <row r="23" ht="15" customHeight="1">
      <c r="A23" t="inlineStr">
        <is>
          <t>A 31568-2026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46304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0.2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HYPERLINK("https://klasma.github.io/Logging_0126/artfynd/A 31568-2026 artfynd.xlsx", "A 31568-2026")</f>
        <v/>
      </c>
      <c r="X23">
        <f>HYPERLINK("https://klasma.github.io/Logging_0126/kartor/A 31568-2026 karta.png", "A 31568-2026")</f>
        <v/>
      </c>
      <c r="Y23">
        <f>HYPERLINK("https://klasma.github.io/Logging_0126/kartor_geotiff/A 31568-2026 georefererad karta.tif", "A 31568-2026")</f>
        <v/>
      </c>
      <c r="AA23">
        <f>HYPERLINK("https://klasma.github.io/Logging_0126/klagomål/A 31568-2026 FSC-klagomål.docx", "A 31568-2026")</f>
        <v/>
      </c>
      <c r="AB23">
        <f>HYPERLINK("https://klasma.github.io/Logging_0126/klagomålsmail/A 31568-2026 FSC-klagomål mail.docx", "A 31568-2026")</f>
        <v/>
      </c>
      <c r="AC23">
        <f>HYPERLINK("https://klasma.github.io/Logging_0126/tillsyn/A 31568-2026 tillsynsbegäran.docx", "A 31568-2026")</f>
        <v/>
      </c>
      <c r="AD23">
        <f>HYPERLINK("https://klasma.github.io/Logging_0126/tillsynsmail/A 31568-2026 tillsynsbegäran mail.docx", "A 31568-2026")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46304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46304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44798</v>
      </c>
      <c r="E26" s="1" t="n">
        <v>46304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46304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46304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46304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46304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27561-2025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46304</v>
      </c>
      <c r="F31" t="inlineStr">
        <is>
          <t>STOCKHOLMS LÄN</t>
        </is>
      </c>
      <c r="G31" t="inlineStr">
        <is>
          <t>HUDDINGE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