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40110-2025</t>
        </is>
      </c>
      <c r="B2" s="1" t="n">
        <v>45894.49097222222</v>
      </c>
      <c r="C2" s="1" t="n">
        <v>45928</v>
      </c>
      <c r="D2" t="inlineStr">
        <is>
          <t>STOCKHOLMS LÄN</t>
        </is>
      </c>
      <c r="E2" t="inlineStr">
        <is>
          <t>HUDDINGE</t>
        </is>
      </c>
      <c r="G2" t="n">
        <v>21.4</v>
      </c>
      <c r="H2" t="n">
        <v>2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17</v>
      </c>
      <c r="R2" s="2" t="inlineStr">
        <is>
          <t>Knärot
Rosetticka
Ulltickeporing
Ekticka
Granticka
Motaggsvamp
Orange taggsvamp
Tallticka
Talltita
Ullticka
Björksplintborre
Fjällig taggsvamp s.str.
Granbarkgnagare
Stubbspretmossa
Thomsons trägnagare
Tjockfotad fingersvamp
Zontaggsvamp</t>
        </is>
      </c>
      <c r="S2">
        <f>HYPERLINK("https://klasma.github.io/Logging_0126/artfynd/A 40110-2025 artfynd.xlsx", "A 40110-2025")</f>
        <v/>
      </c>
      <c r="T2">
        <f>HYPERLINK("https://klasma.github.io/Logging_0126/kartor/A 40110-2025 karta.png", "A 40110-2025")</f>
        <v/>
      </c>
      <c r="U2">
        <f>HYPERLINK("https://klasma.github.io/Logging_0126/knärot/A 40110-2025 karta knärot.png", "A 40110-2025")</f>
        <v/>
      </c>
      <c r="V2">
        <f>HYPERLINK("https://klasma.github.io/Logging_0126/klagomål/A 40110-2025 FSC-klagomål.docx", "A 40110-2025")</f>
        <v/>
      </c>
      <c r="W2">
        <f>HYPERLINK("https://klasma.github.io/Logging_0126/klagomålsmail/A 40110-2025 FSC-klagomål mail.docx", "A 40110-2025")</f>
        <v/>
      </c>
      <c r="X2">
        <f>HYPERLINK("https://klasma.github.io/Logging_0126/tillsyn/A 40110-2025 tillsynsbegäran.docx", "A 40110-2025")</f>
        <v/>
      </c>
      <c r="Y2">
        <f>HYPERLINK("https://klasma.github.io/Logging_0126/tillsynsmail/A 40110-2025 tillsynsbegäran mail.docx", "A 40110-2025")</f>
        <v/>
      </c>
      <c r="Z2">
        <f>HYPERLINK("https://klasma.github.io/Logging_0126/fåglar/A 40110-2025 prioriterade fågelarter.docx", "A 40110-2025")</f>
        <v/>
      </c>
    </row>
    <row r="3" ht="15" customHeight="1">
      <c r="A3" t="inlineStr">
        <is>
          <t>A 9939-2021</t>
        </is>
      </c>
      <c r="B3" s="1" t="n">
        <v>44253</v>
      </c>
      <c r="C3" s="1" t="n">
        <v>45928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2.4</v>
      </c>
      <c r="H3" t="n">
        <v>14</v>
      </c>
      <c r="I3" t="n">
        <v>0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14</v>
      </c>
      <c r="R3" s="2" t="inlineStr">
        <is>
          <t>Grönfink
Gulsparv
Havsörn
Rödvingetrast
Rörsångare
Spillkråka
Svartvit flugsnappare
Talltita
Ärtsångare
Enkelbeckasin
Gröngöling
Göktyta
Järnsparv
Törnskata</t>
        </is>
      </c>
      <c r="S3">
        <f>HYPERLINK("https://klasma.github.io/Logging_0126/artfynd/A 9939-2021 artfynd.xlsx", "A 9939-2021")</f>
        <v/>
      </c>
      <c r="T3">
        <f>HYPERLINK("https://klasma.github.io/Logging_0126/kartor/A 9939-2021 karta.png", "A 9939-2021")</f>
        <v/>
      </c>
      <c r="V3">
        <f>HYPERLINK("https://klasma.github.io/Logging_0126/klagomål/A 9939-2021 FSC-klagomål.docx", "A 9939-2021")</f>
        <v/>
      </c>
      <c r="W3">
        <f>HYPERLINK("https://klasma.github.io/Logging_0126/klagomålsmail/A 9939-2021 FSC-klagomål mail.docx", "A 9939-2021")</f>
        <v/>
      </c>
      <c r="X3">
        <f>HYPERLINK("https://klasma.github.io/Logging_0126/tillsyn/A 9939-2021 tillsynsbegäran.docx", "A 9939-2021")</f>
        <v/>
      </c>
      <c r="Y3">
        <f>HYPERLINK("https://klasma.github.io/Logging_0126/tillsynsmail/A 9939-2021 tillsynsbegäran mail.docx", "A 9939-2021")</f>
        <v/>
      </c>
      <c r="Z3">
        <f>HYPERLINK("https://klasma.github.io/Logging_0126/fåglar/A 9939-2021 prioriterade fågelarter.docx", "A 9939-2021")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45928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52259-2024</t>
        </is>
      </c>
      <c r="B5" s="1" t="n">
        <v>45608.6471875</v>
      </c>
      <c r="C5" s="1" t="n">
        <v>45928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11.8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Svartvit flugsnappare
Dvärgpipistrell
Grönsiska
Större brunfladdermus</t>
        </is>
      </c>
      <c r="S5">
        <f>HYPERLINK("https://klasma.github.io/Logging_0126/artfynd/A 52259-2024 artfynd.xlsx", "A 52259-2024")</f>
        <v/>
      </c>
      <c r="T5">
        <f>HYPERLINK("https://klasma.github.io/Logging_0126/kartor/A 52259-2024 karta.png", "A 52259-2024")</f>
        <v/>
      </c>
      <c r="V5">
        <f>HYPERLINK("https://klasma.github.io/Logging_0126/klagomål/A 52259-2024 FSC-klagomål.docx", "A 52259-2024")</f>
        <v/>
      </c>
      <c r="W5">
        <f>HYPERLINK("https://klasma.github.io/Logging_0126/klagomålsmail/A 52259-2024 FSC-klagomål mail.docx", "A 52259-2024")</f>
        <v/>
      </c>
      <c r="X5">
        <f>HYPERLINK("https://klasma.github.io/Logging_0126/tillsyn/A 52259-2024 tillsynsbegäran.docx", "A 52259-2024")</f>
        <v/>
      </c>
      <c r="Y5">
        <f>HYPERLINK("https://klasma.github.io/Logging_0126/tillsynsmail/A 52259-2024 tillsynsbegäran mail.docx", "A 52259-2024")</f>
        <v/>
      </c>
      <c r="Z5">
        <f>HYPERLINK("https://klasma.github.io/Logging_0126/fåglar/A 52259-2024 prioriterade fågelarter.docx", "A 52259-2024")</f>
        <v/>
      </c>
    </row>
    <row r="6" ht="15" customHeight="1">
      <c r="A6" t="inlineStr">
        <is>
          <t>A 24365-2023</t>
        </is>
      </c>
      <c r="B6" s="1" t="n">
        <v>45076</v>
      </c>
      <c r="C6" s="1" t="n">
        <v>45928</v>
      </c>
      <c r="D6" t="inlineStr">
        <is>
          <t>STOCKHOLMS LÄN</t>
        </is>
      </c>
      <c r="E6" t="inlineStr">
        <is>
          <t>HUDDINGE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Björksplintborre
Blåmossa
Jättesvampmal</t>
        </is>
      </c>
      <c r="S6">
        <f>HYPERLINK("https://klasma.github.io/Logging_0126/artfynd/A 24365-2023 artfynd.xlsx", "A 24365-2023")</f>
        <v/>
      </c>
      <c r="T6">
        <f>HYPERLINK("https://klasma.github.io/Logging_0126/kartor/A 24365-2023 karta.png", "A 24365-2023")</f>
        <v/>
      </c>
      <c r="V6">
        <f>HYPERLINK("https://klasma.github.io/Logging_0126/klagomål/A 24365-2023 FSC-klagomål.docx", "A 24365-2023")</f>
        <v/>
      </c>
      <c r="W6">
        <f>HYPERLINK("https://klasma.github.io/Logging_0126/klagomålsmail/A 24365-2023 FSC-klagomål mail.docx", "A 24365-2023")</f>
        <v/>
      </c>
      <c r="X6">
        <f>HYPERLINK("https://klasma.github.io/Logging_0126/tillsyn/A 24365-2023 tillsynsbegäran.docx", "A 24365-2023")</f>
        <v/>
      </c>
      <c r="Y6">
        <f>HYPERLINK("https://klasma.github.io/Logging_0126/tillsynsmail/A 24365-2023 tillsynsbegäran mail.docx", "A 24365-2023")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45928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17467-2024</t>
        </is>
      </c>
      <c r="B8" s="1" t="n">
        <v>45415.44597222222</v>
      </c>
      <c r="C8" s="1" t="n">
        <v>45928</v>
      </c>
      <c r="D8" t="inlineStr">
        <is>
          <t>STOCKHOLMS LÄN</t>
        </is>
      </c>
      <c r="E8" t="inlineStr">
        <is>
          <t>HUDDINGE</t>
        </is>
      </c>
      <c r="G8" t="n">
        <v>14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Motaggsvamp</t>
        </is>
      </c>
      <c r="S8">
        <f>HYPERLINK("https://klasma.github.io/Logging_0126/artfynd/A 17467-2024 artfynd.xlsx", "A 17467-2024")</f>
        <v/>
      </c>
      <c r="T8">
        <f>HYPERLINK("https://klasma.github.io/Logging_0126/kartor/A 17467-2024 karta.png", "A 17467-2024")</f>
        <v/>
      </c>
      <c r="U8">
        <f>HYPERLINK("https://klasma.github.io/Logging_0126/knärot/A 17467-2024 karta knärot.png", "A 17467-2024")</f>
        <v/>
      </c>
      <c r="V8">
        <f>HYPERLINK("https://klasma.github.io/Logging_0126/klagomål/A 17467-2024 FSC-klagomål.docx", "A 17467-2024")</f>
        <v/>
      </c>
      <c r="W8">
        <f>HYPERLINK("https://klasma.github.io/Logging_0126/klagomålsmail/A 17467-2024 FSC-klagomål mail.docx", "A 17467-2024")</f>
        <v/>
      </c>
      <c r="X8">
        <f>HYPERLINK("https://klasma.github.io/Logging_0126/tillsyn/A 17467-2024 tillsynsbegäran.docx", "A 17467-2024")</f>
        <v/>
      </c>
      <c r="Y8">
        <f>HYPERLINK("https://klasma.github.io/Logging_0126/tillsynsmail/A 17467-2024 tillsynsbegäran mail.docx", "A 17467-2024")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45928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45928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45928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45928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45928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24233-2023</t>
        </is>
      </c>
      <c r="B14" s="1" t="n">
        <v>45076</v>
      </c>
      <c r="C14" s="1" t="n">
        <v>45928</v>
      </c>
      <c r="D14" t="inlineStr">
        <is>
          <t>STOCKHOLMS LÄN</t>
        </is>
      </c>
      <c r="E14" t="inlineStr">
        <is>
          <t>HUDDINGE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taggsvamp</t>
        </is>
      </c>
      <c r="S14">
        <f>HYPERLINK("https://klasma.github.io/Logging_0126/artfynd/A 24233-2023 artfynd.xlsx", "A 24233-2023")</f>
        <v/>
      </c>
      <c r="T14">
        <f>HYPERLINK("https://klasma.github.io/Logging_0126/kartor/A 24233-2023 karta.png", "A 24233-2023")</f>
        <v/>
      </c>
      <c r="V14">
        <f>HYPERLINK("https://klasma.github.io/Logging_0126/klagomål/A 24233-2023 FSC-klagomål.docx", "A 24233-2023")</f>
        <v/>
      </c>
      <c r="W14">
        <f>HYPERLINK("https://klasma.github.io/Logging_0126/klagomålsmail/A 24233-2023 FSC-klagomål mail.docx", "A 24233-2023")</f>
        <v/>
      </c>
      <c r="X14">
        <f>HYPERLINK("https://klasma.github.io/Logging_0126/tillsyn/A 24233-2023 tillsynsbegäran.docx", "A 24233-2023")</f>
        <v/>
      </c>
      <c r="Y14">
        <f>HYPERLINK("https://klasma.github.io/Logging_0126/tillsynsmail/A 24233-2023 tillsynsbegäran mail.docx", "A 24233-2023")</f>
        <v/>
      </c>
    </row>
    <row r="15" ht="15" customHeight="1">
      <c r="A15" t="inlineStr">
        <is>
          <t>A 32508-2022</t>
        </is>
      </c>
      <c r="B15" s="1" t="n">
        <v>44782</v>
      </c>
      <c r="C15" s="1" t="n">
        <v>45928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45928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45928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24254-2023</t>
        </is>
      </c>
      <c r="B18" s="1" t="n">
        <v>45076</v>
      </c>
      <c r="C18" s="1" t="n">
        <v>45928</v>
      </c>
      <c r="D18" t="inlineStr">
        <is>
          <t>STOCKHOLMS LÄN</t>
        </is>
      </c>
      <c r="E18" t="inlineStr">
        <is>
          <t>HUDDINGE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24257-2023</t>
        </is>
      </c>
      <c r="B19" s="1" t="n">
        <v>45076</v>
      </c>
      <c r="C19" s="1" t="n">
        <v>45928</v>
      </c>
      <c r="D19" t="inlineStr">
        <is>
          <t>STOCKHOLMS LÄN</t>
        </is>
      </c>
      <c r="E19" t="inlineStr">
        <is>
          <t>HUDDINGE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47173-2022</t>
        </is>
      </c>
      <c r="B20" s="1" t="n">
        <v>44852</v>
      </c>
      <c r="C20" s="1" t="n">
        <v>45928</v>
      </c>
      <c r="D20" t="inlineStr">
        <is>
          <t>STOCKHOLMS LÄN</t>
        </is>
      </c>
      <c r="E20" t="inlineStr">
        <is>
          <t>HUDDINGE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45928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45928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31246-2022</t>
        </is>
      </c>
      <c r="B23" s="1" t="n">
        <v>44771</v>
      </c>
      <c r="C23" s="1" t="n">
        <v>45928</v>
      </c>
      <c r="D23" t="inlineStr">
        <is>
          <t>STOCKHOLMS LÄN</t>
        </is>
      </c>
      <c r="E23" t="inlineStr">
        <is>
          <t>HUDDINGE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35404-2022</t>
        </is>
      </c>
      <c r="B24" s="1" t="n">
        <v>44798</v>
      </c>
      <c r="C24" s="1" t="n">
        <v>45928</v>
      </c>
      <c r="D24" t="inlineStr">
        <is>
          <t>STOCKHOLMS LÄN</t>
        </is>
      </c>
      <c r="E24" t="inlineStr">
        <is>
          <t>HUDDINGE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2025-09-28T12:16:42Z</dcterms:created>
  <dcterms:modified xmlns:dcterms="http://purl.org/dc/terms/" xmlns:xsi="http://www.w3.org/2001/XMLSchema-instance" xsi:type="dcterms:W3CDTF">2025-09-28T12:16:42Z</dcterms:modified>
</cp:coreProperties>
</file>