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46317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46317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46317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46317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46317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46317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46317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46317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46317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25210-2026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46175</v>
      </c>
      <c r="E11" s="1" t="n">
        <v>46317</v>
      </c>
      <c r="F11" t="inlineStr">
        <is>
          <t>STOCKHOLMS LÄN</t>
        </is>
      </c>
      <c r="G11" t="inlineStr">
        <is>
          <t>HUDDINGE</t>
        </is>
      </c>
      <c r="I11" t="n">
        <v>0.6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Blåsippa
Mindre vattensalamander
Vanlig padda</t>
        </is>
      </c>
      <c r="W11">
        <f>HYPERLINK("https://klasma.github.io/Logging_0126/artfynd/A 25210-2026 artfynd.xlsx", "A 25210-2026")</f>
        <v/>
      </c>
      <c r="X11">
        <f>HYPERLINK("https://klasma.github.io/Logging_0126/kartor/A 25210-2026 karta.png", "A 25210-2026")</f>
        <v/>
      </c>
      <c r="Y11">
        <f>HYPERLINK("https://klasma.github.io/Logging_0126/kartor_geotiff/A 25210-2026 georefererad karta.tif", "A 25210-2026")</f>
        <v/>
      </c>
      <c r="AA11">
        <f>HYPERLINK("https://klasma.github.io/Logging_0126/klagomål/A 25210-2026 FSC-klagomål.docx", "A 25210-2026")</f>
        <v/>
      </c>
      <c r="AB11">
        <f>HYPERLINK("https://klasma.github.io/Logging_0126/klagomålsmail/A 25210-2026 FSC-klagomål mail.docx", "A 25210-2026")</f>
        <v/>
      </c>
      <c r="AC11">
        <f>HYPERLINK("https://klasma.github.io/Logging_0126/tillsyn/A 25210-2026 tillsynsbegäran.docx", "A 25210-2026")</f>
        <v/>
      </c>
      <c r="AD11">
        <f>HYPERLINK("https://klasma.github.io/Logging_0126/tillsynsmail/A 25210-2026 tillsynsbegäran mail.docx", "A 25210-2026")</f>
        <v/>
      </c>
    </row>
    <row r="12" ht="15" customHeight="1">
      <c r="A12" t="inlineStr">
        <is>
          <t>A 31632-2026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46223</v>
      </c>
      <c r="E12" s="1" t="n">
        <v>46317</v>
      </c>
      <c r="F12" t="inlineStr">
        <is>
          <t>STOCKHOLMS LÄN</t>
        </is>
      </c>
      <c r="G12" t="inlineStr">
        <is>
          <t>HUDDINGE</t>
        </is>
      </c>
      <c r="H12" t="inlineStr">
        <is>
          <t>Kommuner</t>
        </is>
      </c>
      <c r="I12" t="n">
        <v>0.2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Tallticka
Mindre märgborre
Kopparödla</t>
        </is>
      </c>
      <c r="W12">
        <f>HYPERLINK("https://klasma.github.io/Logging_0126/artfynd/A 31632-2026 artfynd.xlsx", "A 31632-2026")</f>
        <v/>
      </c>
      <c r="X12">
        <f>HYPERLINK("https://klasma.github.io/Logging_0126/kartor/A 31632-2026 karta.png", "A 31632-2026")</f>
        <v/>
      </c>
      <c r="Y12">
        <f>HYPERLINK("https://klasma.github.io/Logging_0126/kartor_geotiff/A 31632-2026 georefererad karta.tif", "A 31632-2026")</f>
        <v/>
      </c>
      <c r="AA12">
        <f>HYPERLINK("https://klasma.github.io/Logging_0126/klagomål/A 31632-2026 FSC-klagomål.docx", "A 31632-2026")</f>
        <v/>
      </c>
      <c r="AB12">
        <f>HYPERLINK("https://klasma.github.io/Logging_0126/klagomålsmail/A 31632-2026 FSC-klagomål mail.docx", "A 31632-2026")</f>
        <v/>
      </c>
      <c r="AC12">
        <f>HYPERLINK("https://klasma.github.io/Logging_0126/tillsyn/A 31632-2026 tillsynsbegäran.docx", "A 31632-2026")</f>
        <v/>
      </c>
      <c r="AD12">
        <f>HYPERLINK("https://klasma.github.io/Logging_0126/tillsynsmail/A 31632-2026 tillsynsbegäran mail.docx", "A 31632-2026")</f>
        <v/>
      </c>
    </row>
    <row r="13" ht="15" customHeight="1">
      <c r="A13" t="inlineStr">
        <is>
          <t>A 17467-2024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45415</v>
      </c>
      <c r="E13" s="1" t="n">
        <v>46317</v>
      </c>
      <c r="F13" t="inlineStr">
        <is>
          <t>STOCKHOLMS LÄN</t>
        </is>
      </c>
      <c r="G13" t="inlineStr">
        <is>
          <t>HUDDINGE</t>
        </is>
      </c>
      <c r="I13" t="n">
        <v>14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Knärot
Motaggsvamp
Bronshjon</t>
        </is>
      </c>
      <c r="W13">
        <f>HYPERLINK("https://klasma.github.io/Logging_0126/artfynd/A 17467-2024 artfynd.xlsx", "A 17467-2024")</f>
        <v/>
      </c>
      <c r="X13">
        <f>HYPERLINK("https://klasma.github.io/Logging_0126/kartor/A 17467-2024 karta.png", "A 17467-2024")</f>
        <v/>
      </c>
      <c r="Y13">
        <f>HYPERLINK("https://klasma.github.io/Logging_0126/kartor_geotiff/A 17467-2024 georefererad karta.tif", "A 17467-2024")</f>
        <v/>
      </c>
      <c r="Z13">
        <f>HYPERLINK("https://klasma.github.io/Logging_0126/knärot/A 17467-2024 karta knärot.png", "A 17467-2024")</f>
        <v/>
      </c>
      <c r="AA13">
        <f>HYPERLINK("https://klasma.github.io/Logging_0126/klagomål/A 17467-2024 FSC-klagomål.docx", "A 17467-2024")</f>
        <v/>
      </c>
      <c r="AB13">
        <f>HYPERLINK("https://klasma.github.io/Logging_0126/klagomålsmail/A 17467-2024 FSC-klagomål mail.docx", "A 17467-2024")</f>
        <v/>
      </c>
      <c r="AC13">
        <f>HYPERLINK("https://klasma.github.io/Logging_0126/tillsyn/A 17467-2024 tillsynsbegäran.docx", "A 17467-2024")</f>
        <v/>
      </c>
      <c r="AD13">
        <f>HYPERLINK("https://klasma.github.io/Logging_0126/tillsynsmail/A 17467-2024 tillsynsbegäran mail.docx", "A 17467-2024")</f>
        <v/>
      </c>
    </row>
    <row r="14" ht="15" customHeight="1">
      <c r="A14" t="inlineStr">
        <is>
          <t>A 25208-2026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46175</v>
      </c>
      <c r="E14" s="1" t="n">
        <v>46317</v>
      </c>
      <c r="F14" t="inlineStr">
        <is>
          <t>STOCKHOLMS LÄN</t>
        </is>
      </c>
      <c r="G14" t="inlineStr">
        <is>
          <t>HUDDINGE</t>
        </is>
      </c>
      <c r="I14" t="n">
        <v>1.1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3</v>
      </c>
      <c r="U14" t="n">
        <v>0</v>
      </c>
      <c r="V14" s="2" t="inlineStr">
        <is>
          <t>Knölvial
Gullviva</t>
        </is>
      </c>
      <c r="W14">
        <f>HYPERLINK("https://klasma.github.io/Logging_0126/artfynd/A 25208-2026 artfynd.xlsx", "A 25208-2026")</f>
        <v/>
      </c>
      <c r="X14">
        <f>HYPERLINK("https://klasma.github.io/Logging_0126/kartor/A 25208-2026 karta.png", "A 25208-2026")</f>
        <v/>
      </c>
      <c r="Y14">
        <f>HYPERLINK("https://klasma.github.io/Logging_0126/kartor_geotiff/A 25208-2026 georefererad karta.tif", "A 25208-2026")</f>
        <v/>
      </c>
      <c r="AA14">
        <f>HYPERLINK("https://klasma.github.io/Logging_0126/klagomål/A 25208-2026 FSC-klagomål.docx", "A 25208-2026")</f>
        <v/>
      </c>
      <c r="AB14">
        <f>HYPERLINK("https://klasma.github.io/Logging_0126/klagomålsmail/A 25208-2026 FSC-klagomål mail.docx", "A 25208-2026")</f>
        <v/>
      </c>
      <c r="AC14">
        <f>HYPERLINK("https://klasma.github.io/Logging_0126/tillsyn/A 25208-2026 tillsynsbegäran.docx", "A 25208-2026")</f>
        <v/>
      </c>
      <c r="AD14">
        <f>HYPERLINK("https://klasma.github.io/Logging_0126/tillsynsmail/A 25208-2026 tillsynsbegäran mail.docx", "A 25208-2026")</f>
        <v/>
      </c>
    </row>
    <row r="15" ht="15" customHeight="1">
      <c r="A15" t="inlineStr">
        <is>
          <t>A 31569-2026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46223</v>
      </c>
      <c r="E15" s="1" t="n">
        <v>46317</v>
      </c>
      <c r="F15" t="inlineStr">
        <is>
          <t>STOCKHOLMS LÄN</t>
        </is>
      </c>
      <c r="G15" t="inlineStr">
        <is>
          <t>HUDDINGE</t>
        </is>
      </c>
      <c r="H15" t="inlineStr">
        <is>
          <t>Kommuner</t>
        </is>
      </c>
      <c r="I15" t="n">
        <v>0.4</v>
      </c>
      <c r="J15" t="n">
        <v>0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0</v>
      </c>
      <c r="V15" s="2" t="inlineStr">
        <is>
          <t>Mindre blåvinge
Sexfläckig bastardsvärmare</t>
        </is>
      </c>
      <c r="W15">
        <f>HYPERLINK("https://klasma.github.io/Logging_0126/artfynd/A 31569-2026 artfynd.xlsx", "A 31569-2026")</f>
        <v/>
      </c>
      <c r="X15">
        <f>HYPERLINK("https://klasma.github.io/Logging_0126/kartor/A 31569-2026 karta.png", "A 31569-2026")</f>
        <v/>
      </c>
      <c r="Y15">
        <f>HYPERLINK("https://klasma.github.io/Logging_0126/kartor_geotiff/A 31569-2026 georefererad karta.tif", "A 31569-2026")</f>
        <v/>
      </c>
      <c r="AA15">
        <f>HYPERLINK("https://klasma.github.io/Logging_0126/klagomål/A 31569-2026 FSC-klagomål.docx", "A 31569-2026")</f>
        <v/>
      </c>
      <c r="AB15">
        <f>HYPERLINK("https://klasma.github.io/Logging_0126/klagomålsmail/A 31569-2026 FSC-klagomål mail.docx", "A 31569-2026")</f>
        <v/>
      </c>
      <c r="AC15">
        <f>HYPERLINK("https://klasma.github.io/Logging_0126/tillsyn/A 31569-2026 tillsynsbegäran.docx", "A 31569-2026")</f>
        <v/>
      </c>
      <c r="AD15">
        <f>HYPERLINK("https://klasma.github.io/Logging_0126/tillsynsmail/A 31569-2026 tillsynsbegäran mail.docx", "A 31569-2026")</f>
        <v/>
      </c>
    </row>
    <row r="16" ht="15" customHeight="1">
      <c r="A16" t="inlineStr">
        <is>
          <t>A 24368-2023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45076</v>
      </c>
      <c r="E16" s="1" t="n">
        <v>46317</v>
      </c>
      <c r="F16" t="inlineStr">
        <is>
          <t>STOCKHOLMS LÄN</t>
        </is>
      </c>
      <c r="G16" t="inlineStr">
        <is>
          <t>HUDDINGE</t>
        </is>
      </c>
      <c r="I16" t="n">
        <v>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Motaggsvamp
Plattlummer</t>
        </is>
      </c>
      <c r="W16">
        <f>HYPERLINK("https://klasma.github.io/Logging_0126/artfynd/A 24368-2023 artfynd.xlsx", "A 24368-2023")</f>
        <v/>
      </c>
      <c r="X16">
        <f>HYPERLINK("https://klasma.github.io/Logging_0126/kartor/A 24368-2023 karta.png", "A 24368-2023")</f>
        <v/>
      </c>
      <c r="Y16">
        <f>HYPERLINK("https://klasma.github.io/Logging_0126/kartor_geotiff/A 24368-2023 georefererad karta.tif", "A 24368-2023")</f>
        <v/>
      </c>
      <c r="AA16">
        <f>HYPERLINK("https://klasma.github.io/Logging_0126/klagomål/A 24368-2023 FSC-klagomål.docx", "A 24368-2023")</f>
        <v/>
      </c>
      <c r="AB16">
        <f>HYPERLINK("https://klasma.github.io/Logging_0126/klagomålsmail/A 24368-2023 FSC-klagomål mail.docx", "A 24368-2023")</f>
        <v/>
      </c>
      <c r="AC16">
        <f>HYPERLINK("https://klasma.github.io/Logging_0126/tillsyn/A 24368-2023 tillsynsbegäran.docx", "A 24368-2023")</f>
        <v/>
      </c>
      <c r="AD16">
        <f>HYPERLINK("https://klasma.github.io/Logging_0126/tillsynsmail/A 24368-2023 tillsynsbegäran mail.docx", "A 24368-2023")</f>
        <v/>
      </c>
    </row>
    <row r="17" ht="15" customHeight="1">
      <c r="A17" t="inlineStr">
        <is>
          <t>A 24363-2023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46317</v>
      </c>
      <c r="F17" t="inlineStr">
        <is>
          <t>STOCKHOLMS LÄN</t>
        </is>
      </c>
      <c r="G17" t="inlineStr">
        <is>
          <t>HUDDINGE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HYPERLINK("https://klasma.github.io/Logging_0126/artfynd/A 24363-2023 artfynd.xlsx", "A 24363-2023")</f>
        <v/>
      </c>
      <c r="X17">
        <f>HYPERLINK("https://klasma.github.io/Logging_0126/kartor/A 24363-2023 karta.png", "A 24363-2023")</f>
        <v/>
      </c>
      <c r="Y17">
        <f>HYPERLINK("https://klasma.github.io/Logging_0126/kartor_geotiff/A 24363-2023 georefererad karta.tif", "A 24363-2023")</f>
        <v/>
      </c>
      <c r="AA17">
        <f>HYPERLINK("https://klasma.github.io/Logging_0126/klagomål/A 24363-2023 FSC-klagomål.docx", "A 24363-2023")</f>
        <v/>
      </c>
      <c r="AB17">
        <f>HYPERLINK("https://klasma.github.io/Logging_0126/klagomålsmail/A 24363-2023 FSC-klagomål mail.docx", "A 24363-2023")</f>
        <v/>
      </c>
      <c r="AC17">
        <f>HYPERLINK("https://klasma.github.io/Logging_0126/tillsyn/A 24363-2023 tillsynsbegäran.docx", "A 24363-2023")</f>
        <v/>
      </c>
      <c r="AD17">
        <f>HYPERLINK("https://klasma.github.io/Logging_0126/tillsynsmail/A 24363-2023 tillsynsbegäran mail.docx", "A 24363-2023")</f>
        <v/>
      </c>
    </row>
    <row r="18" ht="15" customHeight="1">
      <c r="A18" t="inlineStr">
        <is>
          <t>A 24257-2023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46317</v>
      </c>
      <c r="F18" t="inlineStr">
        <is>
          <t>STOCKHOLMS LÄN</t>
        </is>
      </c>
      <c r="G18" t="inlineStr">
        <is>
          <t>HUDDINGE</t>
        </is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Kolflarnlav</t>
        </is>
      </c>
      <c r="W18">
        <f>HYPERLINK("https://klasma.github.io/Logging_0126/artfynd/A 24257-2023 artfynd.xlsx", "A 24257-2023")</f>
        <v/>
      </c>
      <c r="X18">
        <f>HYPERLINK("https://klasma.github.io/Logging_0126/kartor/A 24257-2023 karta.png", "A 24257-2023")</f>
        <v/>
      </c>
      <c r="Y18">
        <f>HYPERLINK("https://klasma.github.io/Logging_0126/kartor_geotiff/A 24257-2023 georefererad karta.tif", "A 24257-2023")</f>
        <v/>
      </c>
      <c r="AA18">
        <f>HYPERLINK("https://klasma.github.io/Logging_0126/klagomål/A 24257-2023 FSC-klagomål.docx", "A 24257-2023")</f>
        <v/>
      </c>
      <c r="AB18">
        <f>HYPERLINK("https://klasma.github.io/Logging_0126/klagomålsmail/A 24257-2023 FSC-klagomål mail.docx", "A 24257-2023")</f>
        <v/>
      </c>
      <c r="AC18">
        <f>HYPERLINK("https://klasma.github.io/Logging_0126/tillsyn/A 24257-2023 tillsynsbegäran.docx", "A 24257-2023")</f>
        <v/>
      </c>
      <c r="AD18">
        <f>HYPERLINK("https://klasma.github.io/Logging_0126/tillsynsmail/A 24257-2023 tillsynsbegäran mail.docx", "A 24257-2023")</f>
        <v/>
      </c>
    </row>
    <row r="19" ht="15" customHeight="1">
      <c r="A19" t="inlineStr">
        <is>
          <t>A 24262-2023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46317</v>
      </c>
      <c r="F19" t="inlineStr">
        <is>
          <t>STOCKHOLMS LÄN</t>
        </is>
      </c>
      <c r="G19" t="inlineStr">
        <is>
          <t>HUDDINGE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Tibast</t>
        </is>
      </c>
      <c r="W19">
        <f>HYPERLINK("https://klasma.github.io/Logging_0126/artfynd/A 24262-2023 artfynd.xlsx", "A 24262-2023")</f>
        <v/>
      </c>
      <c r="X19">
        <f>HYPERLINK("https://klasma.github.io/Logging_0126/kartor/A 24262-2023 karta.png", "A 24262-2023")</f>
        <v/>
      </c>
      <c r="Y19">
        <f>HYPERLINK("https://klasma.github.io/Logging_0126/kartor_geotiff/A 24262-2023 georefererad karta.tif", "A 24262-2023")</f>
        <v/>
      </c>
      <c r="AA19">
        <f>HYPERLINK("https://klasma.github.io/Logging_0126/klagomål/A 24262-2023 FSC-klagomål.docx", "A 24262-2023")</f>
        <v/>
      </c>
      <c r="AB19">
        <f>HYPERLINK("https://klasma.github.io/Logging_0126/klagomålsmail/A 24262-2023 FSC-klagomål mail.docx", "A 24262-2023")</f>
        <v/>
      </c>
      <c r="AC19">
        <f>HYPERLINK("https://klasma.github.io/Logging_0126/tillsyn/A 24262-2023 tillsynsbegäran.docx", "A 24262-2023")</f>
        <v/>
      </c>
      <c r="AD19">
        <f>HYPERLINK("https://klasma.github.io/Logging_0126/tillsynsmail/A 24262-2023 tillsynsbegäran mail.docx", "A 24262-2023")</f>
        <v/>
      </c>
    </row>
    <row r="20" ht="15" customHeight="1">
      <c r="A20" t="inlineStr">
        <is>
          <t>A 31514-2026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46317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Tibast</t>
        </is>
      </c>
      <c r="W20">
        <f>HYPERLINK("https://klasma.github.io/Logging_0126/artfynd/A 31514-2026 artfynd.xlsx", "A 31514-2026")</f>
        <v/>
      </c>
      <c r="X20">
        <f>HYPERLINK("https://klasma.github.io/Logging_0126/kartor/A 31514-2026 karta.png", "A 31514-2026")</f>
        <v/>
      </c>
      <c r="Y20">
        <f>HYPERLINK("https://klasma.github.io/Logging_0126/kartor_geotiff/A 31514-2026 georefererad karta.tif", "A 31514-2026")</f>
        <v/>
      </c>
      <c r="AA20">
        <f>HYPERLINK("https://klasma.github.io/Logging_0126/klagomål/A 31514-2026 FSC-klagomål.docx", "A 31514-2026")</f>
        <v/>
      </c>
      <c r="AB20">
        <f>HYPERLINK("https://klasma.github.io/Logging_0126/klagomålsmail/A 31514-2026 FSC-klagomål mail.docx", "A 31514-2026")</f>
        <v/>
      </c>
      <c r="AC20">
        <f>HYPERLINK("https://klasma.github.io/Logging_0126/tillsyn/A 31514-2026 tillsynsbegäran.docx", "A 31514-2026")</f>
        <v/>
      </c>
      <c r="AD20">
        <f>HYPERLINK("https://klasma.github.io/Logging_0126/tillsynsmail/A 31514-2026 tillsynsbegäran mail.docx", "A 31514-2026")</f>
        <v/>
      </c>
    </row>
    <row r="21" ht="15" customHeight="1">
      <c r="A21" t="inlineStr">
        <is>
          <t>A 31568-2026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46317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0.2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Skogsödla</t>
        </is>
      </c>
      <c r="W21">
        <f>HYPERLINK("https://klasma.github.io/Logging_0126/artfynd/A 31568-2026 artfynd.xlsx", "A 31568-2026")</f>
        <v/>
      </c>
      <c r="X21">
        <f>HYPERLINK("https://klasma.github.io/Logging_0126/kartor/A 31568-2026 karta.png", "A 31568-2026")</f>
        <v/>
      </c>
      <c r="Y21">
        <f>HYPERLINK("https://klasma.github.io/Logging_0126/kartor_geotiff/A 31568-2026 georefererad karta.tif", "A 31568-2026")</f>
        <v/>
      </c>
      <c r="AA21">
        <f>HYPERLINK("https://klasma.github.io/Logging_0126/klagomål/A 31568-2026 FSC-klagomål.docx", "A 31568-2026")</f>
        <v/>
      </c>
      <c r="AB21">
        <f>HYPERLINK("https://klasma.github.io/Logging_0126/klagomålsmail/A 31568-2026 FSC-klagomål mail.docx", "A 31568-2026")</f>
        <v/>
      </c>
      <c r="AC21">
        <f>HYPERLINK("https://klasma.github.io/Logging_0126/tillsyn/A 31568-2026 tillsynsbegäran.docx", "A 31568-2026")</f>
        <v/>
      </c>
      <c r="AD21">
        <f>HYPERLINK("https://klasma.github.io/Logging_0126/tillsynsmail/A 31568-2026 tillsynsbegäran mail.docx", "A 31568-2026")</f>
        <v/>
      </c>
    </row>
    <row r="22" ht="15" customHeight="1">
      <c r="A22" t="inlineStr">
        <is>
          <t>A 31633-2026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46317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Kopparödla</t>
        </is>
      </c>
      <c r="W22">
        <f>HYPERLINK("https://klasma.github.io/Logging_0126/artfynd/A 31633-2026 artfynd.xlsx", "A 31633-2026")</f>
        <v/>
      </c>
      <c r="X22">
        <f>HYPERLINK("https://klasma.github.io/Logging_0126/kartor/A 31633-2026 karta.png", "A 31633-2026")</f>
        <v/>
      </c>
      <c r="Y22">
        <f>HYPERLINK("https://klasma.github.io/Logging_0126/kartor_geotiff/A 31633-2026 georefererad karta.tif", "A 31633-2026")</f>
        <v/>
      </c>
      <c r="AA22">
        <f>HYPERLINK("https://klasma.github.io/Logging_0126/klagomål/A 31633-2026 FSC-klagomål.docx", "A 31633-2026")</f>
        <v/>
      </c>
      <c r="AB22">
        <f>HYPERLINK("https://klasma.github.io/Logging_0126/klagomålsmail/A 31633-2026 FSC-klagomål mail.docx", "A 31633-2026")</f>
        <v/>
      </c>
      <c r="AC22">
        <f>HYPERLINK("https://klasma.github.io/Logging_0126/tillsyn/A 31633-2026 tillsynsbegäran.docx", "A 31633-2026")</f>
        <v/>
      </c>
      <c r="AD22">
        <f>HYPERLINK("https://klasma.github.io/Logging_0126/tillsynsmail/A 31633-2026 tillsynsbegäran mail.docx", "A 31633-2026")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46317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46317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46317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46317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31246-2022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44771</v>
      </c>
      <c r="E27" s="1" t="n">
        <v>46317</v>
      </c>
      <c r="F27" t="inlineStr">
        <is>
          <t>STOCKHOLMS LÄN</t>
        </is>
      </c>
      <c r="G27" t="inlineStr">
        <is>
          <t>HUDDINGE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35404-2022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44798</v>
      </c>
      <c r="E28" s="1" t="n">
        <v>46317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46317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31645-2026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46225</v>
      </c>
      <c r="E30" s="1" t="n">
        <v>46317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31651-2026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46223</v>
      </c>
      <c r="E31" s="1" t="n">
        <v>46317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  <c r="X31">
        <f>HYPERLINK("https://klasma.github.io/Logging_0126/kartor/A 31651-2026 karta.png", "A 31651-2026")</f>
        <v/>
      </c>
      <c r="Y31">
        <f>HYPERLINK("https://klasma.github.io/Logging_0126/kartor_geotiff/A 31651-2026 georefererad karta.tif", "A 31651-2026")</f>
        <v/>
      </c>
      <c r="AA31">
        <f>HYPERLINK("https://klasma.github.io/Logging_0126/klagomål/A 31651-2026 FSC-klagomål.docx", "A 31651-2026")</f>
        <v/>
      </c>
      <c r="AB31">
        <f>HYPERLINK("https://klasma.github.io/Logging_0126/klagomålsmail/A 31651-2026 FSC-klagomål mail.docx", "A 31651-2026")</f>
        <v/>
      </c>
      <c r="AC31">
        <f>HYPERLINK("https://klasma.github.io/Logging_0126/tillsyn/A 31651-2026 tillsynsbegäran.docx", "A 31651-2026")</f>
        <v/>
      </c>
      <c r="AD31">
        <f>HYPERLINK("https://klasma.github.io/Logging_0126/tillsynsmail/A 31651-2026 tillsynsbegäran mail.docx", "A 31651-2026")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2026-10-22T01:53:47Z</dcterms:created>
  <dcterms:modified xmlns:dcterms="http://purl.org/dc/terms/" xmlns:xsi="http://www.w3.org/2001/XMLSchema-instance" xsi:type="dcterms:W3CDTF">2026-10-22T01:53:47Z</dcterms:modified>
</cp:coreProperties>
</file>