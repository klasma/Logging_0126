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46265</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46265</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46265</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46265</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46265</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46265</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46265</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46265</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46265</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46265</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46265</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46265</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46265</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46265</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46265</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46265</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24363-2023</t>
        </is>
      </c>
      <c r="B18" t="inlineStr">
        <is>
          <t>avverkningsanmälan</t>
        </is>
      </c>
      <c r="C18" t="inlineStr">
        <is>
          <t>Föryngringsavverkning</t>
        </is>
      </c>
      <c r="D18" s="1" t="n">
        <v>45076</v>
      </c>
      <c r="E18" s="1" t="n">
        <v>46265</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46265</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24262-2023</t>
        </is>
      </c>
      <c r="B20" t="inlineStr">
        <is>
          <t>avverkningsanmälan</t>
        </is>
      </c>
      <c r="C20" t="inlineStr">
        <is>
          <t>Föryngringsavverkning</t>
        </is>
      </c>
      <c r="D20" s="1" t="n">
        <v>45076</v>
      </c>
      <c r="E20" s="1" t="n">
        <v>46265</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24233-2023</t>
        </is>
      </c>
      <c r="B21" t="inlineStr">
        <is>
          <t>avverkningsanmälan</t>
        </is>
      </c>
      <c r="C21" t="inlineStr">
        <is>
          <t>Föryngringsavverkning</t>
        </is>
      </c>
      <c r="D21" s="1" t="n">
        <v>45076</v>
      </c>
      <c r="E21" s="1" t="n">
        <v>46265</v>
      </c>
      <c r="F21" t="inlineStr">
        <is>
          <t>STOCKHOLMS LÄN</t>
        </is>
      </c>
      <c r="G21" t="inlineStr">
        <is>
          <t>HUDDINGE</t>
        </is>
      </c>
      <c r="I21" t="n">
        <v>3.7</v>
      </c>
      <c r="J21" t="n">
        <v>0</v>
      </c>
      <c r="K21" t="n">
        <v>0</v>
      </c>
      <c r="L21" t="n">
        <v>1</v>
      </c>
      <c r="M21" t="n">
        <v>0</v>
      </c>
      <c r="N21" t="n">
        <v>0</v>
      </c>
      <c r="O21" t="n">
        <v>0</v>
      </c>
      <c r="P21" t="n">
        <v>0</v>
      </c>
      <c r="Q21" t="n">
        <v>1</v>
      </c>
      <c r="R21" t="n">
        <v>0</v>
      </c>
      <c r="S21" t="n">
        <v>1</v>
      </c>
      <c r="T21" t="n">
        <v>1</v>
      </c>
      <c r="U21" t="n">
        <v>1</v>
      </c>
      <c r="V21" s="2" t="inlineStr">
        <is>
          <t>Svartvit taggsvamp</t>
        </is>
      </c>
      <c r="W21">
        <f>HYPERLINK("https://klasma.github.io/Logging_0126/artfynd/A 24233-2023 artfynd.xlsx", "A 24233-2023")</f>
        <v/>
      </c>
      <c r="X21">
        <f>HYPERLINK("https://klasma.github.io/Logging_0126/kartor/A 24233-2023 karta.png", "A 24233-2023")</f>
        <v/>
      </c>
      <c r="Y21">
        <f>HYPERLINK("https://klasma.github.io/Logging_0126/kartor_geotiff/A 24233-2023 georefererad karta.tif", "A 24233-2023")</f>
        <v/>
      </c>
      <c r="AA21">
        <f>HYPERLINK("https://klasma.github.io/Logging_0126/klagomål/A 24233-2023 FSC-klagomål.docx", "A 24233-2023")</f>
        <v/>
      </c>
      <c r="AB21">
        <f>HYPERLINK("https://klasma.github.io/Logging_0126/klagomålsmail/A 24233-2023 FSC-klagomål mail.docx", "A 24233-2023")</f>
        <v/>
      </c>
      <c r="AC21">
        <f>HYPERLINK("https://klasma.github.io/Logging_0126/tillsyn/A 24233-2023 tillsynsbegäran.docx", "A 24233-2023")</f>
        <v/>
      </c>
      <c r="AD21">
        <f>HYPERLINK("https://klasma.github.io/Logging_0126/tillsynsmail/A 24233-2023 tillsynsbegäran mail.docx", "A 24233-2023")</f>
        <v/>
      </c>
    </row>
    <row r="22" ht="15" customHeight="1">
      <c r="A22" t="inlineStr">
        <is>
          <t>A 31514-2026</t>
        </is>
      </c>
      <c r="B22" t="inlineStr">
        <is>
          <t>avverkningsanmälan</t>
        </is>
      </c>
      <c r="C22" t="inlineStr">
        <is>
          <t>Avverkning för annat ändamål</t>
        </is>
      </c>
      <c r="D22" s="1" t="n">
        <v>46223</v>
      </c>
      <c r="E22" s="1" t="n">
        <v>46265</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46265</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46265</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31795-2026</t>
        </is>
      </c>
      <c r="B25" t="inlineStr">
        <is>
          <t>avverkningsanmälan</t>
        </is>
      </c>
      <c r="C25" t="inlineStr">
        <is>
          <t>Avverkning för annat ändamål</t>
        </is>
      </c>
      <c r="D25" s="1" t="n">
        <v>46230</v>
      </c>
      <c r="E25" s="1" t="n">
        <v>46265</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27561-2025</t>
        </is>
      </c>
      <c r="B26" t="inlineStr">
        <is>
          <t>avverkningsanmälan</t>
        </is>
      </c>
      <c r="C26" t="inlineStr">
        <is>
          <t>Föryngringsavverkning</t>
        </is>
      </c>
      <c r="D26" s="1" t="n">
        <v>45813</v>
      </c>
      <c r="E26" s="1" t="n">
        <v>46265</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46265</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46265</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35404-2022</t>
        </is>
      </c>
      <c r="B29" t="inlineStr">
        <is>
          <t>avverkningsanmälan</t>
        </is>
      </c>
      <c r="C29" t="inlineStr">
        <is>
          <t>Föryngringsavverkning</t>
        </is>
      </c>
      <c r="D29" s="1" t="n">
        <v>44798</v>
      </c>
      <c r="E29" s="1" t="n">
        <v>46265</v>
      </c>
      <c r="F29" t="inlineStr">
        <is>
          <t>STOCKHOLMS LÄN</t>
        </is>
      </c>
      <c r="G29" t="inlineStr">
        <is>
          <t>HUDDINGE</t>
        </is>
      </c>
      <c r="H29" t="inlineStr">
        <is>
          <t>Kommuner</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31650-2026</t>
        </is>
      </c>
      <c r="B30" t="inlineStr">
        <is>
          <t>avverkningsanmälan</t>
        </is>
      </c>
      <c r="C30" t="inlineStr">
        <is>
          <t>Avverkning för annat ändamål</t>
        </is>
      </c>
      <c r="D30" s="1" t="n">
        <v>46225</v>
      </c>
      <c r="E30" s="1" t="n">
        <v>46265</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46265</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31651-2026</t>
        </is>
      </c>
      <c r="B32" t="inlineStr">
        <is>
          <t>avverkningsanmälan</t>
        </is>
      </c>
      <c r="C32" t="inlineStr">
        <is>
          <t>Avverkning för annat ändamål</t>
        </is>
      </c>
      <c r="D32" s="1" t="n">
        <v>46223</v>
      </c>
      <c r="E32" s="1" t="n">
        <v>46265</v>
      </c>
      <c r="F32" t="inlineStr">
        <is>
          <t>STOCKHOLMS LÄN</t>
        </is>
      </c>
      <c r="G32" t="inlineStr">
        <is>
          <t>HUDDINGE</t>
        </is>
      </c>
      <c r="H32" t="inlineStr">
        <is>
          <t>Kommuner</t>
        </is>
      </c>
      <c r="I32" t="n">
        <v>0</v>
      </c>
      <c r="J32" t="n">
        <v>0</v>
      </c>
      <c r="K32" t="n">
        <v>0</v>
      </c>
      <c r="L32" t="n">
        <v>0</v>
      </c>
      <c r="M32" t="n">
        <v>0</v>
      </c>
      <c r="N32" t="n">
        <v>0</v>
      </c>
      <c r="O32" t="n">
        <v>0</v>
      </c>
      <c r="P32" t="n">
        <v>0</v>
      </c>
      <c r="Q32" t="n">
        <v>0</v>
      </c>
      <c r="R32" t="n">
        <v>0</v>
      </c>
      <c r="S32" t="n">
        <v>0</v>
      </c>
      <c r="T32" t="n">
        <v>0</v>
      </c>
      <c r="U32" t="n">
        <v>0</v>
      </c>
      <c r="V32" s="2" t="inlineStr"/>
      <c r="X32">
        <f>HYPERLINK("https://klasma.github.io/Logging_0126/kartor/A 31651-2026 karta.png", "A 31651-2026")</f>
        <v/>
      </c>
      <c r="Y32">
        <f>HYPERLINK("https://klasma.github.io/Logging_0126/kartor_geotiff/A 31651-2026 georefererad karta.tif", "A 31651-2026")</f>
        <v/>
      </c>
      <c r="AA32">
        <f>HYPERLINK("https://klasma.github.io/Logging_0126/klagomål/A 31651-2026 FSC-klagomål.docx", "A 31651-2026")</f>
        <v/>
      </c>
      <c r="AB32">
        <f>HYPERLINK("https://klasma.github.io/Logging_0126/klagomålsmail/A 31651-2026 FSC-klagomål mail.docx", "A 31651-2026")</f>
        <v/>
      </c>
      <c r="AC32">
        <f>HYPERLINK("https://klasma.github.io/Logging_0126/tillsyn/A 31651-2026 tillsynsbegäran.docx", "A 31651-2026")</f>
        <v/>
      </c>
      <c r="AD32">
        <f>HYPERLINK("https://klasma.github.io/Logging_0126/tillsynsmail/A 31651-2026 tillsynsbegäran mail.docx", "A 31651-2026")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2026-08-31T09:58:01Z</dcterms:created>
  <dcterms:modified xmlns:dcterms="http://purl.org/dc/terms/" xmlns:xsi="http://www.w3.org/2001/XMLSchema-instance" xsi:type="dcterms:W3CDTF">2026-08-31T09:58:01Z</dcterms:modified>
</cp:coreProperties>
</file>