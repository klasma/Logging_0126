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46136</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46136</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46136</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46136</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46136</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46136</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46136</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491-2026</t>
        </is>
      </c>
      <c r="B9" s="1" t="n">
        <v>46029.42581018519</v>
      </c>
      <c r="C9" s="1" t="n">
        <v>46136</v>
      </c>
      <c r="D9" t="inlineStr">
        <is>
          <t>STOCKHOLMS LÄN</t>
        </is>
      </c>
      <c r="E9" t="inlineStr">
        <is>
          <t>HUDDINGE</t>
        </is>
      </c>
      <c r="G9" t="n">
        <v>3.2</v>
      </c>
      <c r="H9" t="n">
        <v>1</v>
      </c>
      <c r="I9" t="n">
        <v>0</v>
      </c>
      <c r="J9" t="n">
        <v>0</v>
      </c>
      <c r="K9" t="n">
        <v>0</v>
      </c>
      <c r="L9" t="n">
        <v>0</v>
      </c>
      <c r="M9" t="n">
        <v>0</v>
      </c>
      <c r="N9" t="n">
        <v>0</v>
      </c>
      <c r="O9" t="n">
        <v>0</v>
      </c>
      <c r="P9" t="n">
        <v>0</v>
      </c>
      <c r="Q9" t="n">
        <v>1</v>
      </c>
      <c r="R9" s="2" t="inlineStr">
        <is>
          <t>Blåsippa</t>
        </is>
      </c>
      <c r="S9">
        <f>HYPERLINK("https://klasma.github.io/Logging_0126/artfynd/A 491-2026 artfynd.xlsx", "A 491-2026")</f>
        <v/>
      </c>
      <c r="T9">
        <f>HYPERLINK("https://klasma.github.io/Logging_0126/kartor/A 491-2026 karta.png", "A 491-2026")</f>
        <v/>
      </c>
      <c r="V9">
        <f>HYPERLINK("https://klasma.github.io/Logging_0126/klagomål/A 491-2026 FSC-klagomål.docx", "A 491-2026")</f>
        <v/>
      </c>
      <c r="W9">
        <f>HYPERLINK("https://klasma.github.io/Logging_0126/klagomålsmail/A 491-2026 FSC-klagomål mail.docx", "A 491-2026")</f>
        <v/>
      </c>
      <c r="X9">
        <f>HYPERLINK("https://klasma.github.io/Logging_0126/tillsyn/A 491-2026 tillsynsbegäran.docx", "A 491-2026")</f>
        <v/>
      </c>
      <c r="Y9">
        <f>HYPERLINK("https://klasma.github.io/Logging_0126/tillsynsmail/A 491-2026 tillsynsbegäran mail.docx", "A 491-2026")</f>
        <v/>
      </c>
    </row>
    <row r="10" ht="15" customHeight="1">
      <c r="A10" t="inlineStr">
        <is>
          <t>A 24384-2023</t>
        </is>
      </c>
      <c r="B10" s="1" t="n">
        <v>45076</v>
      </c>
      <c r="C10" s="1" t="n">
        <v>46136</v>
      </c>
      <c r="D10" t="inlineStr">
        <is>
          <t>STOCKHOLMS LÄN</t>
        </is>
      </c>
      <c r="E10" t="inlineStr">
        <is>
          <t>HUDDINGE</t>
        </is>
      </c>
      <c r="G10" t="n">
        <v>1</v>
      </c>
      <c r="H10" t="n">
        <v>0</v>
      </c>
      <c r="I10" t="n">
        <v>0</v>
      </c>
      <c r="J10" t="n">
        <v>1</v>
      </c>
      <c r="K10" t="n">
        <v>0</v>
      </c>
      <c r="L10" t="n">
        <v>0</v>
      </c>
      <c r="M10" t="n">
        <v>0</v>
      </c>
      <c r="N10" t="n">
        <v>0</v>
      </c>
      <c r="O10" t="n">
        <v>1</v>
      </c>
      <c r="P10" t="n">
        <v>0</v>
      </c>
      <c r="Q10" t="n">
        <v>1</v>
      </c>
      <c r="R10" s="2" t="inlineStr">
        <is>
          <t>Kolflarnlav</t>
        </is>
      </c>
      <c r="S10">
        <f>HYPERLINK("https://klasma.github.io/Logging_0126/artfynd/A 24384-2023 artfynd.xlsx", "A 24384-2023")</f>
        <v/>
      </c>
      <c r="T10">
        <f>HYPERLINK("https://klasma.github.io/Logging_0126/kartor/A 24384-2023 karta.png", "A 24384-2023")</f>
        <v/>
      </c>
      <c r="V10">
        <f>HYPERLINK("https://klasma.github.io/Logging_0126/klagomål/A 24384-2023 FSC-klagomål.docx", "A 24384-2023")</f>
        <v/>
      </c>
      <c r="W10">
        <f>HYPERLINK("https://klasma.github.io/Logging_0126/klagomålsmail/A 24384-2023 FSC-klagomål mail.docx", "A 24384-2023")</f>
        <v/>
      </c>
      <c r="X10">
        <f>HYPERLINK("https://klasma.github.io/Logging_0126/tillsyn/A 24384-2023 tillsynsbegäran.docx", "A 24384-2023")</f>
        <v/>
      </c>
      <c r="Y10">
        <f>HYPERLINK("https://klasma.github.io/Logging_0126/tillsynsmail/A 24384-2023 tillsynsbegäran mail.docx", "A 24384-2023")</f>
        <v/>
      </c>
    </row>
    <row r="11" ht="15" customHeight="1">
      <c r="A11" t="inlineStr">
        <is>
          <t>A 24262-2023</t>
        </is>
      </c>
      <c r="B11" s="1" t="n">
        <v>45076</v>
      </c>
      <c r="C11" s="1" t="n">
        <v>46136</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46136</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46136</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46136</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46136</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46136</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46136</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46136</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46136</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46136</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46136</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46136</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2026-04-24T10:50:59Z</dcterms:created>
  <dcterms:modified xmlns:dcterms="http://purl.org/dc/terms/" xmlns:xsi="http://www.w3.org/2001/XMLSchema-instance" xsi:type="dcterms:W3CDTF">2026-04-24T10:50:59Z</dcterms:modified>
</cp:coreProperties>
</file>