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45475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45475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Bronshjon
Grovticka
Vedticka
Vågbandad barkbock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45475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Ullticka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13326-2020</t>
        </is>
      </c>
      <c r="B5" s="1" t="n">
        <v>43894</v>
      </c>
      <c r="C5" s="1" t="n">
        <v>45475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HYPERLINK("https://klasma.github.io/Logging_0126/artfynd/A 13326-2020 artfynd.xlsx", "A 13326-2020")</f>
        <v/>
      </c>
      <c r="T5">
        <f>HYPERLINK("https://klasma.github.io/Logging_0126/kartor/A 13326-2020 karta.png", "A 13326-2020")</f>
        <v/>
      </c>
      <c r="V5">
        <f>HYPERLINK("https://klasma.github.io/Logging_0126/klagomål/A 13326-2020 FSC-klagomål.docx", "A 13326-2020")</f>
        <v/>
      </c>
      <c r="W5">
        <f>HYPERLINK("https://klasma.github.io/Logging_0126/klagomålsmail/A 13326-2020 FSC-klagomål mail.docx", "A 13326-2020")</f>
        <v/>
      </c>
      <c r="X5">
        <f>HYPERLINK("https://klasma.github.io/Logging_0126/tillsyn/A 13326-2020 tillsynsbegäran.docx", "A 13326-2020")</f>
        <v/>
      </c>
      <c r="Y5">
        <f>HYPERLINK("https://klasma.github.io/Logging_0126/tillsynsmail/A 13326-2020 tillsynsbegäran mail.docx", "A 13326-2020")</f>
        <v/>
      </c>
    </row>
    <row r="6" ht="15" customHeight="1">
      <c r="A6" t="inlineStr">
        <is>
          <t>A 24233-2023</t>
        </is>
      </c>
      <c r="B6" s="1" t="n">
        <v>45076</v>
      </c>
      <c r="C6" s="1" t="n">
        <v>45475</v>
      </c>
      <c r="D6" t="inlineStr">
        <is>
          <t>STOCKHOLMS LÄN</t>
        </is>
      </c>
      <c r="E6" t="inlineStr">
        <is>
          <t>HUDDINGE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taggsvamp</t>
        </is>
      </c>
      <c r="S6">
        <f>HYPERLINK("https://klasma.github.io/Logging_0126/artfynd/A 24233-2023 artfynd.xlsx", "A 24233-2023")</f>
        <v/>
      </c>
      <c r="T6">
        <f>HYPERLINK("https://klasma.github.io/Logging_0126/kartor/A 24233-2023 karta.png", "A 24233-2023")</f>
        <v/>
      </c>
      <c r="V6">
        <f>HYPERLINK("https://klasma.github.io/Logging_0126/klagomål/A 24233-2023 FSC-klagomål.docx", "A 24233-2023")</f>
        <v/>
      </c>
      <c r="W6">
        <f>HYPERLINK("https://klasma.github.io/Logging_0126/klagomålsmail/A 24233-2023 FSC-klagomål mail.docx", "A 24233-2023")</f>
        <v/>
      </c>
      <c r="X6">
        <f>HYPERLINK("https://klasma.github.io/Logging_0126/tillsyn/A 24233-2023 tillsynsbegäran.docx", "A 24233-2023")</f>
        <v/>
      </c>
      <c r="Y6">
        <f>HYPERLINK("https://klasma.github.io/Logging_0126/tillsynsmail/A 24233-2023 tillsynsbegäran mail.docx", "A 24233-2023")</f>
        <v/>
      </c>
    </row>
    <row r="7" ht="15" customHeight="1">
      <c r="A7" t="inlineStr">
        <is>
          <t>A 24384-2023</t>
        </is>
      </c>
      <c r="B7" s="1" t="n">
        <v>45076</v>
      </c>
      <c r="C7" s="1" t="n">
        <v>45475</v>
      </c>
      <c r="D7" t="inlineStr">
        <is>
          <t>STOCKHOLMS LÄN</t>
        </is>
      </c>
      <c r="E7" t="inlineStr">
        <is>
          <t>HUDDINGE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Kolflarnlav</t>
        </is>
      </c>
      <c r="S7">
        <f>HYPERLINK("https://klasma.github.io/Logging_0126/artfynd/A 24384-2023 artfynd.xlsx", "A 24384-2023")</f>
        <v/>
      </c>
      <c r="T7">
        <f>HYPERLINK("https://klasma.github.io/Logging_0126/kartor/A 24384-2023 karta.png", "A 24384-2023")</f>
        <v/>
      </c>
      <c r="V7">
        <f>HYPERLINK("https://klasma.github.io/Logging_0126/klagomål/A 24384-2023 FSC-klagomål.docx", "A 24384-2023")</f>
        <v/>
      </c>
      <c r="W7">
        <f>HYPERLINK("https://klasma.github.io/Logging_0126/klagomålsmail/A 24384-2023 FSC-klagomål mail.docx", "A 24384-2023")</f>
        <v/>
      </c>
      <c r="X7">
        <f>HYPERLINK("https://klasma.github.io/Logging_0126/tillsyn/A 24384-2023 tillsynsbegäran.docx", "A 24384-2023")</f>
        <v/>
      </c>
      <c r="Y7">
        <f>HYPERLINK("https://klasma.github.io/Logging_0126/tillsynsmail/A 24384-2023 tillsynsbegäran mail.docx", "A 24384-2023")</f>
        <v/>
      </c>
    </row>
    <row r="8" ht="15" customHeight="1">
      <c r="A8" t="inlineStr">
        <is>
          <t>A 58260-2020</t>
        </is>
      </c>
      <c r="B8" s="1" t="n">
        <v>44144</v>
      </c>
      <c r="C8" s="1" t="n">
        <v>45475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45475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45475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45475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45475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45475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45475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45475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45475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45475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45475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45475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45475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45475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45475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2024-07-02T10:38:15Z</dcterms:created>
  <dcterms:modified xmlns:dcterms="http://purl.org/dc/terms/" xmlns:xsi="http://www.w3.org/2001/XMLSchema-instance" xsi:type="dcterms:W3CDTF">2024-07-02T10:38:15Z</dcterms:modified>
</cp:coreProperties>
</file>