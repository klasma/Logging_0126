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46274</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46274</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46274</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46274</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46274</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46274</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46274</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46274</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46274</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46274</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46274</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46274</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46274</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46274</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46274</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46274</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46274</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46274</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46274</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31633-2026</t>
        </is>
      </c>
      <c r="B21" t="inlineStr">
        <is>
          <t>avverkningsanmälan</t>
        </is>
      </c>
      <c r="C21" t="inlineStr">
        <is>
          <t>Avverkning för annat ändamål</t>
        </is>
      </c>
      <c r="D21" s="1" t="n">
        <v>46223</v>
      </c>
      <c r="E21" s="1" t="n">
        <v>46274</v>
      </c>
      <c r="F21" t="inlineStr">
        <is>
          <t>STOCKHOLMS LÄN</t>
        </is>
      </c>
      <c r="G21" t="inlineStr">
        <is>
          <t>HUDDINGE</t>
        </is>
      </c>
      <c r="H21" t="inlineStr">
        <is>
          <t>Kommuner</t>
        </is>
      </c>
      <c r="I21" t="n">
        <v>2.5</v>
      </c>
      <c r="J21" t="n">
        <v>1</v>
      </c>
      <c r="K21" t="n">
        <v>0</v>
      </c>
      <c r="L21" t="n">
        <v>0</v>
      </c>
      <c r="M21" t="n">
        <v>0</v>
      </c>
      <c r="N21" t="n">
        <v>0</v>
      </c>
      <c r="O21" t="n">
        <v>0</v>
      </c>
      <c r="P21" t="n">
        <v>0</v>
      </c>
      <c r="Q21" t="n">
        <v>0</v>
      </c>
      <c r="R21" t="n">
        <v>0</v>
      </c>
      <c r="S21" t="n">
        <v>1</v>
      </c>
      <c r="T21" t="n">
        <v>2</v>
      </c>
      <c r="U21" t="n">
        <v>0</v>
      </c>
      <c r="V21" s="2" t="inlineStr">
        <is>
          <t>Kopparödla</t>
        </is>
      </c>
      <c r="W21">
        <f>HYPERLINK("https://klasma.github.io/Logging_0126/artfynd/A 31633-2026 artfynd.xlsx", "A 31633-2026")</f>
        <v/>
      </c>
      <c r="X21">
        <f>HYPERLINK("https://klasma.github.io/Logging_0126/kartor/A 31633-2026 karta.png", "A 31633-2026")</f>
        <v/>
      </c>
      <c r="Y21">
        <f>HYPERLINK("https://klasma.github.io/Logging_0126/kartor_geotiff/A 31633-2026 georefererad karta.tif", "A 31633-2026")</f>
        <v/>
      </c>
      <c r="AA21">
        <f>HYPERLINK("https://klasma.github.io/Logging_0126/klagomål/A 31633-2026 FSC-klagomål.docx", "A 31633-2026")</f>
        <v/>
      </c>
      <c r="AB21">
        <f>HYPERLINK("https://klasma.github.io/Logging_0126/klagomålsmail/A 31633-2026 FSC-klagomål mail.docx", "A 31633-2026")</f>
        <v/>
      </c>
      <c r="AC21">
        <f>HYPERLINK("https://klasma.github.io/Logging_0126/tillsyn/A 31633-2026 tillsynsbegäran.docx", "A 31633-2026")</f>
        <v/>
      </c>
      <c r="AD21">
        <f>HYPERLINK("https://klasma.github.io/Logging_0126/tillsynsmail/A 31633-2026 tillsynsbegäran mail.docx", "A 31633-2026")</f>
        <v/>
      </c>
    </row>
    <row r="22" ht="15" customHeight="1">
      <c r="A22" t="inlineStr">
        <is>
          <t>A 31514-2026</t>
        </is>
      </c>
      <c r="B22" t="inlineStr">
        <is>
          <t>avverkningsanmälan</t>
        </is>
      </c>
      <c r="C22" t="inlineStr">
        <is>
          <t>Avverkning för annat ändamål</t>
        </is>
      </c>
      <c r="D22" s="1" t="n">
        <v>46223</v>
      </c>
      <c r="E22" s="1" t="n">
        <v>46274</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46274</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31795-2026</t>
        </is>
      </c>
      <c r="B24" t="inlineStr">
        <is>
          <t>avverkningsanmälan</t>
        </is>
      </c>
      <c r="C24" t="inlineStr">
        <is>
          <t>Avverkning för annat ändamål</t>
        </is>
      </c>
      <c r="D24" s="1" t="n">
        <v>46230</v>
      </c>
      <c r="E24" s="1" t="n">
        <v>46274</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46274</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46274</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31645-2026</t>
        </is>
      </c>
      <c r="B27" t="inlineStr">
        <is>
          <t>avverkningsanmälan</t>
        </is>
      </c>
      <c r="C27" t="inlineStr">
        <is>
          <t>Avverkning för annat ändamål</t>
        </is>
      </c>
      <c r="D27" s="1" t="n">
        <v>46225</v>
      </c>
      <c r="E27" s="1" t="n">
        <v>46274</v>
      </c>
      <c r="F27" t="inlineStr">
        <is>
          <t>STOCKHOLMS LÄN</t>
        </is>
      </c>
      <c r="G27" t="inlineStr">
        <is>
          <t>HUDDINGE</t>
        </is>
      </c>
      <c r="H27" t="inlineStr">
        <is>
          <t>Kommuner</t>
        </is>
      </c>
      <c r="I27" t="n">
        <v>0.7</v>
      </c>
      <c r="J27" t="n">
        <v>0</v>
      </c>
      <c r="K27" t="n">
        <v>0</v>
      </c>
      <c r="L27" t="n">
        <v>0</v>
      </c>
      <c r="M27" t="n">
        <v>0</v>
      </c>
      <c r="N27" t="n">
        <v>0</v>
      </c>
      <c r="O27" t="n">
        <v>0</v>
      </c>
      <c r="P27" t="n">
        <v>0</v>
      </c>
      <c r="Q27" t="n">
        <v>0</v>
      </c>
      <c r="R27" t="n">
        <v>0</v>
      </c>
      <c r="S27" t="n">
        <v>0</v>
      </c>
      <c r="T27" t="n">
        <v>0</v>
      </c>
      <c r="U27" t="n">
        <v>0</v>
      </c>
      <c r="V27" s="2" t="inlineStr"/>
    </row>
    <row r="28" ht="15" customHeight="1">
      <c r="A28" t="inlineStr">
        <is>
          <t>A 31651-2026</t>
        </is>
      </c>
      <c r="B28" t="inlineStr">
        <is>
          <t>avverkningsanmälan</t>
        </is>
      </c>
      <c r="C28" t="inlineStr">
        <is>
          <t>Avverkning för annat ändamål</t>
        </is>
      </c>
      <c r="D28" s="1" t="n">
        <v>46223</v>
      </c>
      <c r="E28" s="1" t="n">
        <v>46274</v>
      </c>
      <c r="F28" t="inlineStr">
        <is>
          <t>STOCKHOLMS LÄN</t>
        </is>
      </c>
      <c r="G28" t="inlineStr">
        <is>
          <t>HUDDINGE</t>
        </is>
      </c>
      <c r="H28" t="inlineStr">
        <is>
          <t>Kommuner</t>
        </is>
      </c>
      <c r="I28" t="n">
        <v>0</v>
      </c>
      <c r="J28" t="n">
        <v>0</v>
      </c>
      <c r="K28" t="n">
        <v>0</v>
      </c>
      <c r="L28" t="n">
        <v>0</v>
      </c>
      <c r="M28" t="n">
        <v>0</v>
      </c>
      <c r="N28" t="n">
        <v>0</v>
      </c>
      <c r="O28" t="n">
        <v>0</v>
      </c>
      <c r="P28" t="n">
        <v>0</v>
      </c>
      <c r="Q28" t="n">
        <v>0</v>
      </c>
      <c r="R28" t="n">
        <v>0</v>
      </c>
      <c r="S28" t="n">
        <v>0</v>
      </c>
      <c r="T28" t="n">
        <v>0</v>
      </c>
      <c r="U28" t="n">
        <v>0</v>
      </c>
      <c r="V28" s="2" t="inlineStr"/>
      <c r="X28">
        <f>HYPERLINK("https://klasma.github.io/Logging_0126/kartor/A 31651-2026 karta.png", "A 31651-2026")</f>
        <v/>
      </c>
      <c r="Y28">
        <f>HYPERLINK("https://klasma.github.io/Logging_0126/kartor_geotiff/A 31651-2026 georefererad karta.tif", "A 31651-2026")</f>
        <v/>
      </c>
      <c r="AA28">
        <f>HYPERLINK("https://klasma.github.io/Logging_0126/klagomål/A 31651-2026 FSC-klagomål.docx", "A 31651-2026")</f>
        <v/>
      </c>
      <c r="AB28">
        <f>HYPERLINK("https://klasma.github.io/Logging_0126/klagomålsmail/A 31651-2026 FSC-klagomål mail.docx", "A 31651-2026")</f>
        <v/>
      </c>
      <c r="AC28">
        <f>HYPERLINK("https://klasma.github.io/Logging_0126/tillsyn/A 31651-2026 tillsynsbegäran.docx", "A 31651-2026")</f>
        <v/>
      </c>
      <c r="AD28">
        <f>HYPERLINK("https://klasma.github.io/Logging_0126/tillsynsmail/A 31651-2026 tillsynsbegäran mail.docx", "A 31651-2026")</f>
        <v/>
      </c>
    </row>
    <row r="29" ht="15" customHeight="1">
      <c r="A29" t="inlineStr">
        <is>
          <t>A 31650-2026</t>
        </is>
      </c>
      <c r="B29" t="inlineStr">
        <is>
          <t>avverkningsanmälan</t>
        </is>
      </c>
      <c r="C29" t="inlineStr">
        <is>
          <t>Avverkning för annat ändamål</t>
        </is>
      </c>
      <c r="D29" s="1" t="n">
        <v>46225</v>
      </c>
      <c r="E29" s="1" t="n">
        <v>46274</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35404-2022</t>
        </is>
      </c>
      <c r="B30" t="inlineStr">
        <is>
          <t>avverkningsanmälan</t>
        </is>
      </c>
      <c r="C30" t="inlineStr">
        <is>
          <t>Föryngringsavverkning</t>
        </is>
      </c>
      <c r="D30" s="1" t="n">
        <v>44798</v>
      </c>
      <c r="E30" s="1" t="n">
        <v>46274</v>
      </c>
      <c r="F30" t="inlineStr">
        <is>
          <t>STOCKHOLMS LÄN</t>
        </is>
      </c>
      <c r="G30" t="inlineStr">
        <is>
          <t>HUDDINGE</t>
        </is>
      </c>
      <c r="H30" t="inlineStr">
        <is>
          <t>Kommuner</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31246-2022</t>
        </is>
      </c>
      <c r="B31" t="inlineStr">
        <is>
          <t>avverkningsanmälan</t>
        </is>
      </c>
      <c r="C31" t="inlineStr">
        <is>
          <t>Avverkning för annat ändamål</t>
        </is>
      </c>
      <c r="D31" s="1" t="n">
        <v>44771</v>
      </c>
      <c r="E31" s="1" t="n">
        <v>46274</v>
      </c>
      <c r="F31" t="inlineStr">
        <is>
          <t>STOCKHOLMS LÄN</t>
        </is>
      </c>
      <c r="G31" t="inlineStr">
        <is>
          <t>HUDDINGE</t>
        </is>
      </c>
      <c r="I31" t="n">
        <v>4.3</v>
      </c>
      <c r="J31" t="n">
        <v>0</v>
      </c>
      <c r="K31" t="n">
        <v>0</v>
      </c>
      <c r="L31" t="n">
        <v>0</v>
      </c>
      <c r="M31" t="n">
        <v>0</v>
      </c>
      <c r="N31" t="n">
        <v>0</v>
      </c>
      <c r="O31" t="n">
        <v>0</v>
      </c>
      <c r="P31" t="n">
        <v>0</v>
      </c>
      <c r="Q31" t="n">
        <v>0</v>
      </c>
      <c r="R31" t="n">
        <v>0</v>
      </c>
      <c r="S31" t="n">
        <v>0</v>
      </c>
      <c r="T31" t="n">
        <v>0</v>
      </c>
      <c r="U31" t="n">
        <v>0</v>
      </c>
      <c r="V31" s="2" t="inlineStr"/>
    </row>
    <row r="32">
      <c r="A32" t="inlineStr">
        <is>
          <t>A 27561-2025</t>
        </is>
      </c>
      <c r="B32" t="inlineStr">
        <is>
          <t>avverkningsanmälan</t>
        </is>
      </c>
      <c r="C32" t="inlineStr">
        <is>
          <t>Föryngringsavverkning</t>
        </is>
      </c>
      <c r="D32" s="1" t="n">
        <v>45813</v>
      </c>
      <c r="E32" s="1" t="n">
        <v>46274</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2026-09-09T02:14:40Z</dcterms:created>
  <dcterms:modified xmlns:dcterms="http://purl.org/dc/terms/" xmlns:xsi="http://www.w3.org/2001/XMLSchema-instance" xsi:type="dcterms:W3CDTF">2026-09-09T02:14:40Z</dcterms:modified>
</cp:coreProperties>
</file>