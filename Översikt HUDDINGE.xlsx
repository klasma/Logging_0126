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24264-2023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45076</v>
      </c>
      <c r="E2" s="1" t="n">
        <v>46321</v>
      </c>
      <c r="F2" t="inlineStr">
        <is>
          <t>STOCKHOLMS LÄN</t>
        </is>
      </c>
      <c r="G2" t="inlineStr">
        <is>
          <t>HUDDINGE</t>
        </is>
      </c>
      <c r="I2" t="n">
        <v>7.3</v>
      </c>
      <c r="J2" t="n">
        <v>2</v>
      </c>
      <c r="K2" t="n">
        <v>8</v>
      </c>
      <c r="L2" t="n">
        <v>6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16</v>
      </c>
      <c r="T2" t="n">
        <v>28</v>
      </c>
      <c r="U2" t="n">
        <v>28</v>
      </c>
      <c r="V2" s="2" t="inlineStr">
        <is>
          <t>Kolflarnlav
Motaggsvamp
Tallticka
Ullticka
Vedskivlav
Vintertagging
Björksplintborre
Blodticka
Blåmossa
Brandticka
Bronshjon
Granbarkgnagare
Mindre märgborre
Vågbandad barkbock
Spillkråka
Revlummer</t>
        </is>
      </c>
      <c r="W2">
        <f>HYPERLINK("https://klasma.github.io/Logging_0126/artfynd/A 24264-2023 artfynd.xlsx", "A 24264-2023")</f>
        <v/>
      </c>
      <c r="X2">
        <f>HYPERLINK("https://klasma.github.io/Logging_0126/kartor/A 24264-2023 karta.png", "A 24264-2023")</f>
        <v/>
      </c>
      <c r="Y2">
        <f>HYPERLINK("https://klasma.github.io/Logging_0126/kartor_geotiff/A 24264-2023 georefererad karta.tif", "A 24264-2023")</f>
        <v/>
      </c>
      <c r="AA2">
        <f>HYPERLINK("https://klasma.github.io/Logging_0126/klagomål/A 24264-2023 FSC-klagomål.docx", "A 24264-2023")</f>
        <v/>
      </c>
      <c r="AB2">
        <f>HYPERLINK("https://klasma.github.io/Logging_0126/klagomålsmail/A 24264-2023 FSC-klagomål mail.docx", "A 24264-2023")</f>
        <v/>
      </c>
      <c r="AC2">
        <f>HYPERLINK("https://klasma.github.io/Logging_0126/tillsyn/A 24264-2023 tillsynsbegäran.docx", "A 24264-2023")</f>
        <v/>
      </c>
      <c r="AD2">
        <f>HYPERLINK("https://klasma.github.io/Logging_0126/tillsynsmail/A 24264-2023 tillsynsbegäran mail.docx", "A 24264-2023")</f>
        <v/>
      </c>
      <c r="AE2">
        <f>HYPERLINK("https://klasma.github.io/Logging_0126/fåglar/A 24264-2023 prioriterade fågelarter.docx", "A 24264-2023")</f>
        <v/>
      </c>
    </row>
    <row r="3" ht="15" customHeight="1">
      <c r="A3" t="inlineStr">
        <is>
          <t>A 24365-2023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45076</v>
      </c>
      <c r="E3" s="1" t="n">
        <v>46321</v>
      </c>
      <c r="F3" t="inlineStr">
        <is>
          <t>STOCKHOLMS LÄN</t>
        </is>
      </c>
      <c r="G3" t="inlineStr">
        <is>
          <t>HUDDINGE</t>
        </is>
      </c>
      <c r="I3" t="n">
        <v>0.7</v>
      </c>
      <c r="J3" t="n">
        <v>1</v>
      </c>
      <c r="K3" t="n">
        <v>4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7</v>
      </c>
      <c r="R3" t="n">
        <v>0</v>
      </c>
      <c r="S3" t="n">
        <v>11</v>
      </c>
      <c r="T3" t="n">
        <v>14</v>
      </c>
      <c r="U3" t="n">
        <v>14</v>
      </c>
      <c r="V3" s="2" t="inlineStr">
        <is>
          <t>Kolflarnlav
Kortskaftad ärgspik
Motaggsvamp
Tallticka
Talltita
Vedskivlav
Vintertagging
Björksplintborre
Blåmossa
Grovticka
Jättesvampmal</t>
        </is>
      </c>
      <c r="W3">
        <f>HYPERLINK("https://klasma.github.io/Logging_0126/artfynd/A 24365-2023 artfynd.xlsx", "A 24365-2023")</f>
        <v/>
      </c>
      <c r="X3">
        <f>HYPERLINK("https://klasma.github.io/Logging_0126/kartor/A 24365-2023 karta.png", "A 24365-2023")</f>
        <v/>
      </c>
      <c r="Y3">
        <f>HYPERLINK("https://klasma.github.io/Logging_0126/kartor_geotiff/A 24365-2023 georefererad karta.tif", "A 24365-2023")</f>
        <v/>
      </c>
      <c r="AA3">
        <f>HYPERLINK("https://klasma.github.io/Logging_0126/klagomål/A 24365-2023 FSC-klagomål.docx", "A 24365-2023")</f>
        <v/>
      </c>
      <c r="AB3">
        <f>HYPERLINK("https://klasma.github.io/Logging_0126/klagomålsmail/A 24365-2023 FSC-klagomål mail.docx", "A 24365-2023")</f>
        <v/>
      </c>
      <c r="AC3">
        <f>HYPERLINK("https://klasma.github.io/Logging_0126/tillsyn/A 24365-2023 tillsynsbegäran.docx", "A 24365-2023")</f>
        <v/>
      </c>
      <c r="AD3">
        <f>HYPERLINK("https://klasma.github.io/Logging_0126/tillsynsmail/A 24365-2023 tillsynsbegäran mail.docx", "A 24365-2023")</f>
        <v/>
      </c>
      <c r="AE3">
        <f>HYPERLINK("https://klasma.github.io/Logging_0126/fåglar/A 24365-2023 prioriterade fågelarter.docx", "A 24365-2023")</f>
        <v/>
      </c>
    </row>
    <row r="4" ht="15" customHeight="1">
      <c r="A4" t="inlineStr">
        <is>
          <t>A 52259-2024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45608</v>
      </c>
      <c r="E4" s="1" t="n">
        <v>46321</v>
      </c>
      <c r="F4" t="inlineStr">
        <is>
          <t>STOCKHOLMS LÄN</t>
        </is>
      </c>
      <c r="G4" t="inlineStr">
        <is>
          <t>HUDDINGE</t>
        </is>
      </c>
      <c r="H4" t="inlineStr">
        <is>
          <t>Kommuner</t>
        </is>
      </c>
      <c r="I4" t="n">
        <v>11.8</v>
      </c>
      <c r="J4" t="n">
        <v>7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7</v>
      </c>
      <c r="T4" t="n">
        <v>9</v>
      </c>
      <c r="U4" t="n">
        <v>8</v>
      </c>
      <c r="V4" s="2" t="inlineStr">
        <is>
          <t>Grönfink
Gulsparv
Dvärgpipistrell
Grönsiska
Större brunfladdermus
Svartvit flugsnappare
Ärtsångare</t>
        </is>
      </c>
      <c r="W4">
        <f>HYPERLINK("https://klasma.github.io/Logging_0126/artfynd/A 52259-2024 artfynd.xlsx", "A 52259-2024")</f>
        <v/>
      </c>
      <c r="X4">
        <f>HYPERLINK("https://klasma.github.io/Logging_0126/kartor/A 52259-2024 karta.png", "A 52259-2024")</f>
        <v/>
      </c>
      <c r="Y4">
        <f>HYPERLINK("https://klasma.github.io/Logging_0126/kartor_geotiff/A 52259-2024 georefererad karta.tif", "A 52259-2024")</f>
        <v/>
      </c>
      <c r="AA4">
        <f>HYPERLINK("https://klasma.github.io/Logging_0126/klagomål/A 52259-2024 FSC-klagomål.docx", "A 52259-2024")</f>
        <v/>
      </c>
      <c r="AB4">
        <f>HYPERLINK("https://klasma.github.io/Logging_0126/klagomålsmail/A 52259-2024 FSC-klagomål mail.docx", "A 52259-2024")</f>
        <v/>
      </c>
      <c r="AC4">
        <f>HYPERLINK("https://klasma.github.io/Logging_0126/tillsyn/A 52259-2024 tillsynsbegäran.docx", "A 52259-2024")</f>
        <v/>
      </c>
      <c r="AD4">
        <f>HYPERLINK("https://klasma.github.io/Logging_0126/tillsynsmail/A 52259-2024 tillsynsbegäran mail.docx", "A 52259-2024")</f>
        <v/>
      </c>
      <c r="AE4">
        <f>HYPERLINK("https://klasma.github.io/Logging_0126/fåglar/A 52259-2024 prioriterade fågelarter.docx", "A 52259-2024")</f>
        <v/>
      </c>
    </row>
    <row r="5" ht="15" customHeight="1">
      <c r="A5" t="inlineStr">
        <is>
          <t>A 49419-2023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45211</v>
      </c>
      <c r="E5" s="1" t="n">
        <v>46321</v>
      </c>
      <c r="F5" t="inlineStr">
        <is>
          <t>STOCKHOLMS LÄN</t>
        </is>
      </c>
      <c r="G5" t="inlineStr">
        <is>
          <t>HUDDINGE</t>
        </is>
      </c>
      <c r="H5" t="inlineStr">
        <is>
          <t>Kommuner</t>
        </is>
      </c>
      <c r="I5" t="n">
        <v>1.9</v>
      </c>
      <c r="J5" t="n">
        <v>6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n">
        <v>6</v>
      </c>
      <c r="T5" t="n">
        <v>7</v>
      </c>
      <c r="U5" t="n">
        <v>7</v>
      </c>
      <c r="V5" s="2" t="inlineStr">
        <is>
          <t>Grönfink
Ladusvala
Fiskgjuse
Havsörn
Kråka
Ärtsångare</t>
        </is>
      </c>
      <c r="W5">
        <f>HYPERLINK("https://klasma.github.io/Logging_0126/artfynd/A 49419-2023 artfynd.xlsx", "A 49419-2023")</f>
        <v/>
      </c>
      <c r="X5">
        <f>HYPERLINK("https://klasma.github.io/Logging_0126/kartor/A 49419-2023 karta.png", "A 49419-2023")</f>
        <v/>
      </c>
      <c r="Y5">
        <f>HYPERLINK("https://klasma.github.io/Logging_0126/kartor_geotiff/A 49419-2023 georefererad karta.tif", "A 49419-2023")</f>
        <v/>
      </c>
      <c r="AA5">
        <f>HYPERLINK("https://klasma.github.io/Logging_0126/klagomål/A 49419-2023 FSC-klagomål.docx", "A 49419-2023")</f>
        <v/>
      </c>
      <c r="AB5">
        <f>HYPERLINK("https://klasma.github.io/Logging_0126/klagomålsmail/A 49419-2023 FSC-klagomål mail.docx", "A 49419-2023")</f>
        <v/>
      </c>
      <c r="AC5">
        <f>HYPERLINK("https://klasma.github.io/Logging_0126/tillsyn/A 49419-2023 tillsynsbegäran.docx", "A 49419-2023")</f>
        <v/>
      </c>
      <c r="AD5">
        <f>HYPERLINK("https://klasma.github.io/Logging_0126/tillsynsmail/A 49419-2023 tillsynsbegäran mail.docx", "A 49419-2023")</f>
        <v/>
      </c>
      <c r="AE5">
        <f>HYPERLINK("https://klasma.github.io/Logging_0126/fåglar/A 49419-2023 prioriterade fågelarter.docx", "A 49419-2023")</f>
        <v/>
      </c>
    </row>
    <row r="6" ht="15" customHeight="1">
      <c r="A6" t="inlineStr">
        <is>
          <t>A 49421-2023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45211</v>
      </c>
      <c r="E6" s="1" t="n">
        <v>46321</v>
      </c>
      <c r="F6" t="inlineStr">
        <is>
          <t>STOCKHOLMS LÄN</t>
        </is>
      </c>
      <c r="G6" t="inlineStr">
        <is>
          <t>HUDDINGE</t>
        </is>
      </c>
      <c r="H6" t="inlineStr">
        <is>
          <t>Kommuner</t>
        </is>
      </c>
      <c r="I6" t="n">
        <v>1.4</v>
      </c>
      <c r="J6" t="n">
        <v>3</v>
      </c>
      <c r="K6" t="n">
        <v>1</v>
      </c>
      <c r="L6" t="n">
        <v>2</v>
      </c>
      <c r="M6" t="n">
        <v>2</v>
      </c>
      <c r="N6" t="n">
        <v>0</v>
      </c>
      <c r="O6" t="n">
        <v>0</v>
      </c>
      <c r="P6" t="n">
        <v>0</v>
      </c>
      <c r="Q6" t="n">
        <v>4</v>
      </c>
      <c r="R6" t="n">
        <v>2</v>
      </c>
      <c r="S6" t="n">
        <v>6</v>
      </c>
      <c r="T6" t="n">
        <v>6</v>
      </c>
      <c r="U6" t="n">
        <v>5</v>
      </c>
      <c r="V6" s="2" t="inlineStr">
        <is>
          <t>Grönfink
Sexfläckig bastardsvärmare
Gulsparv
Tallticka
Mindre märgborre
Blåsippa</t>
        </is>
      </c>
      <c r="W6">
        <f>HYPERLINK("https://klasma.github.io/Logging_0126/artfynd/A 49421-2023 artfynd.xlsx", "A 49421-2023")</f>
        <v/>
      </c>
      <c r="X6">
        <f>HYPERLINK("https://klasma.github.io/Logging_0126/kartor/A 49421-2023 karta.png", "A 49421-2023")</f>
        <v/>
      </c>
      <c r="Y6">
        <f>HYPERLINK("https://klasma.github.io/Logging_0126/kartor_geotiff/A 49421-2023 georefererad karta.tif", "A 49421-2023")</f>
        <v/>
      </c>
      <c r="AA6">
        <f>HYPERLINK("https://klasma.github.io/Logging_0126/klagomål/A 49421-2023 FSC-klagomål.docx", "A 49421-2023")</f>
        <v/>
      </c>
      <c r="AB6">
        <f>HYPERLINK("https://klasma.github.io/Logging_0126/klagomålsmail/A 49421-2023 FSC-klagomål mail.docx", "A 49421-2023")</f>
        <v/>
      </c>
      <c r="AC6">
        <f>HYPERLINK("https://klasma.github.io/Logging_0126/tillsyn/A 49421-2023 tillsynsbegäran.docx", "A 49421-2023")</f>
        <v/>
      </c>
      <c r="AD6">
        <f>HYPERLINK("https://klasma.github.io/Logging_0126/tillsynsmail/A 49421-2023 tillsynsbegäran mail.docx", "A 49421-2023")</f>
        <v/>
      </c>
      <c r="AE6">
        <f>HYPERLINK("https://klasma.github.io/Logging_0126/fåglar/A 49421-2023 prioriterade fågelarter.docx", "A 49421-2023")</f>
        <v/>
      </c>
    </row>
    <row r="7" ht="15" customHeight="1">
      <c r="A7" t="inlineStr">
        <is>
          <t>A 31651-2026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46223</v>
      </c>
      <c r="E7" s="1" t="n">
        <v>46321</v>
      </c>
      <c r="F7" t="inlineStr">
        <is>
          <t>STOCKHOLMS LÄN</t>
        </is>
      </c>
      <c r="G7" t="inlineStr">
        <is>
          <t>HUDDINGE</t>
        </is>
      </c>
      <c r="H7" t="inlineStr">
        <is>
          <t>Kommuner</t>
        </is>
      </c>
      <c r="I7" t="n">
        <v>2</v>
      </c>
      <c r="J7" t="n">
        <v>1</v>
      </c>
      <c r="K7" t="n">
        <v>2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2</v>
      </c>
      <c r="R7" t="n">
        <v>1</v>
      </c>
      <c r="S7" t="n">
        <v>5</v>
      </c>
      <c r="T7" t="n">
        <v>8</v>
      </c>
      <c r="U7" t="n">
        <v>0</v>
      </c>
      <c r="V7" s="2" t="inlineStr">
        <is>
          <t>Ask
Tallticka
Stor aspticka
Trådticka
Blåsippa</t>
        </is>
      </c>
      <c r="W7">
        <f>HYPERLINK("https://klasma.github.io/Logging_0126/artfynd/A 31651-2026 artfynd.xlsx", "A 31651-2026")</f>
        <v/>
      </c>
      <c r="X7">
        <f>HYPERLINK("https://klasma.github.io/Logging_0126/kartor/A 31651-2026 karta.png", "A 31651-2026")</f>
        <v/>
      </c>
      <c r="Y7">
        <f>HYPERLINK("https://klasma.github.io/Logging_0126/kartor_geotiff/A 31651-2026 georefererad karta.tif", "A 31651-2026")</f>
        <v/>
      </c>
      <c r="AA7">
        <f>HYPERLINK("https://klasma.github.io/Logging_0126/klagomål/A 31651-2026 FSC-klagomål.docx", "A 31651-2026")</f>
        <v/>
      </c>
      <c r="AB7">
        <f>HYPERLINK("https://klasma.github.io/Logging_0126/klagomålsmail/A 31651-2026 FSC-klagomål mail.docx", "A 31651-2026")</f>
        <v/>
      </c>
      <c r="AC7">
        <f>HYPERLINK("https://klasma.github.io/Logging_0126/tillsyn/A 31651-2026 tillsynsbegäran.docx", "A 31651-2026")</f>
        <v/>
      </c>
      <c r="AD7">
        <f>HYPERLINK("https://klasma.github.io/Logging_0126/tillsynsmail/A 31651-2026 tillsynsbegäran mail.docx", "A 31651-2026")</f>
        <v/>
      </c>
    </row>
    <row r="8" ht="15" customHeight="1">
      <c r="A8" t="inlineStr">
        <is>
          <t>A 32508-2022</t>
        </is>
      </c>
      <c r="B8" t="inlineStr">
        <is>
          <t>avverkningsanmälan</t>
        </is>
      </c>
      <c r="C8" t="inlineStr">
        <is>
          <t>Avverkning för annat ändamål</t>
        </is>
      </c>
      <c r="D8" s="1" t="n">
        <v>44782</v>
      </c>
      <c r="E8" s="1" t="n">
        <v>46321</v>
      </c>
      <c r="F8" t="inlineStr">
        <is>
          <t>STOCKHOLMS LÄN</t>
        </is>
      </c>
      <c r="G8" t="inlineStr">
        <is>
          <t>HUDDINGE</t>
        </is>
      </c>
      <c r="H8" t="inlineStr">
        <is>
          <t>Kommuner</t>
        </is>
      </c>
      <c r="I8" t="n">
        <v>4.7</v>
      </c>
      <c r="J8" t="n">
        <v>2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5</v>
      </c>
      <c r="U8" t="n">
        <v>3</v>
      </c>
      <c r="V8" s="2" t="inlineStr">
        <is>
          <t>Strutbräken
Blåsippa
Kopparödla</t>
        </is>
      </c>
      <c r="W8">
        <f>HYPERLINK("https://klasma.github.io/Logging_0126/artfynd/A 32508-2022 artfynd.xlsx", "A 32508-2022")</f>
        <v/>
      </c>
      <c r="X8">
        <f>HYPERLINK("https://klasma.github.io/Logging_0126/kartor/A 32508-2022 karta.png", "A 32508-2022")</f>
        <v/>
      </c>
      <c r="Y8">
        <f>HYPERLINK("https://klasma.github.io/Logging_0126/kartor_geotiff/A 32508-2022 georefererad karta.tif", "A 32508-2022")</f>
        <v/>
      </c>
      <c r="AA8">
        <f>HYPERLINK("https://klasma.github.io/Logging_0126/klagomål/A 32508-2022 FSC-klagomål.docx", "A 32508-2022")</f>
        <v/>
      </c>
      <c r="AB8">
        <f>HYPERLINK("https://klasma.github.io/Logging_0126/klagomålsmail/A 32508-2022 FSC-klagomål mail.docx", "A 32508-2022")</f>
        <v/>
      </c>
      <c r="AC8">
        <f>HYPERLINK("https://klasma.github.io/Logging_0126/tillsyn/A 32508-2022 tillsynsbegäran.docx", "A 32508-2022")</f>
        <v/>
      </c>
      <c r="AD8">
        <f>HYPERLINK("https://klasma.github.io/Logging_0126/tillsynsmail/A 32508-2022 tillsynsbegäran mail.docx", "A 32508-2022")</f>
        <v/>
      </c>
    </row>
    <row r="9" ht="15" customHeight="1">
      <c r="A9" t="inlineStr">
        <is>
          <t>A 25210-2026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46175</v>
      </c>
      <c r="E9" s="1" t="n">
        <v>46321</v>
      </c>
      <c r="F9" t="inlineStr">
        <is>
          <t>STOCKHOLMS LÄN</t>
        </is>
      </c>
      <c r="G9" t="inlineStr">
        <is>
          <t>HUDDINGE</t>
        </is>
      </c>
      <c r="I9" t="n">
        <v>0.6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5</v>
      </c>
      <c r="U9" t="n">
        <v>0</v>
      </c>
      <c r="V9" s="2" t="inlineStr">
        <is>
          <t>Blåsippa
Mindre vattensalamander
Vanlig padda</t>
        </is>
      </c>
      <c r="W9">
        <f>HYPERLINK("https://klasma.github.io/Logging_0126/artfynd/A 25210-2026 artfynd.xlsx", "A 25210-2026")</f>
        <v/>
      </c>
      <c r="X9">
        <f>HYPERLINK("https://klasma.github.io/Logging_0126/kartor/A 25210-2026 karta.png", "A 25210-2026")</f>
        <v/>
      </c>
      <c r="Y9">
        <f>HYPERLINK("https://klasma.github.io/Logging_0126/kartor_geotiff/A 25210-2026 georefererad karta.tif", "A 25210-2026")</f>
        <v/>
      </c>
      <c r="AA9">
        <f>HYPERLINK("https://klasma.github.io/Logging_0126/klagomål/A 25210-2026 FSC-klagomål.docx", "A 25210-2026")</f>
        <v/>
      </c>
      <c r="AB9">
        <f>HYPERLINK("https://klasma.github.io/Logging_0126/klagomålsmail/A 25210-2026 FSC-klagomål mail.docx", "A 25210-2026")</f>
        <v/>
      </c>
      <c r="AC9">
        <f>HYPERLINK("https://klasma.github.io/Logging_0126/tillsyn/A 25210-2026 tillsynsbegäran.docx", "A 25210-2026")</f>
        <v/>
      </c>
      <c r="AD9">
        <f>HYPERLINK("https://klasma.github.io/Logging_0126/tillsynsmail/A 25210-2026 tillsynsbegäran mail.docx", "A 25210-2026")</f>
        <v/>
      </c>
    </row>
    <row r="10" ht="15" customHeight="1">
      <c r="A10" t="inlineStr">
        <is>
          <t>A 17467-2024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45415</v>
      </c>
      <c r="E10" s="1" t="n">
        <v>46321</v>
      </c>
      <c r="F10" t="inlineStr">
        <is>
          <t>STOCKHOLMS LÄN</t>
        </is>
      </c>
      <c r="G10" t="inlineStr">
        <is>
          <t>HUDDINGE</t>
        </is>
      </c>
      <c r="I10" t="n">
        <v>14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3</v>
      </c>
      <c r="T10" t="n">
        <v>3</v>
      </c>
      <c r="U10" t="n">
        <v>3</v>
      </c>
      <c r="V10" s="2" t="inlineStr">
        <is>
          <t>Knärot
Motaggsvamp
Bronshjon</t>
        </is>
      </c>
      <c r="W10">
        <f>HYPERLINK("https://klasma.github.io/Logging_0126/artfynd/A 17467-2024 artfynd.xlsx", "A 17467-2024")</f>
        <v/>
      </c>
      <c r="X10">
        <f>HYPERLINK("https://klasma.github.io/Logging_0126/kartor/A 17467-2024 karta.png", "A 17467-2024")</f>
        <v/>
      </c>
      <c r="Y10">
        <f>HYPERLINK("https://klasma.github.io/Logging_0126/kartor_geotiff/A 17467-2024 georefererad karta.tif", "A 17467-2024")</f>
        <v/>
      </c>
      <c r="Z10">
        <f>HYPERLINK("https://klasma.github.io/Logging_0126/knärot/A 17467-2024 karta knärot.png", "A 17467-2024")</f>
        <v/>
      </c>
      <c r="AA10">
        <f>HYPERLINK("https://klasma.github.io/Logging_0126/klagomål/A 17467-2024 FSC-klagomål.docx", "A 17467-2024")</f>
        <v/>
      </c>
      <c r="AB10">
        <f>HYPERLINK("https://klasma.github.io/Logging_0126/klagomålsmail/A 17467-2024 FSC-klagomål mail.docx", "A 17467-2024")</f>
        <v/>
      </c>
      <c r="AC10">
        <f>HYPERLINK("https://klasma.github.io/Logging_0126/tillsyn/A 17467-2024 tillsynsbegäran.docx", "A 17467-2024")</f>
        <v/>
      </c>
      <c r="AD10">
        <f>HYPERLINK("https://klasma.github.io/Logging_0126/tillsynsmail/A 17467-2024 tillsynsbegäran mail.docx", "A 17467-2024")</f>
        <v/>
      </c>
    </row>
    <row r="11" ht="15" customHeight="1">
      <c r="A11" t="inlineStr">
        <is>
          <t>A 31632-2026</t>
        </is>
      </c>
      <c r="B11" t="inlineStr">
        <is>
          <t>avverkningsanmälan</t>
        </is>
      </c>
      <c r="C11" t="inlineStr">
        <is>
          <t>Avverkning för annat ändamål</t>
        </is>
      </c>
      <c r="D11" s="1" t="n">
        <v>46223</v>
      </c>
      <c r="E11" s="1" t="n">
        <v>46321</v>
      </c>
      <c r="F11" t="inlineStr">
        <is>
          <t>STOCKHOLMS LÄN</t>
        </is>
      </c>
      <c r="G11" t="inlineStr">
        <is>
          <t>HUDDINGE</t>
        </is>
      </c>
      <c r="H11" t="inlineStr">
        <is>
          <t>Kommuner</t>
        </is>
      </c>
      <c r="I11" t="n">
        <v>0.2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3</v>
      </c>
      <c r="T11" t="n">
        <v>3</v>
      </c>
      <c r="U11" t="n">
        <v>0</v>
      </c>
      <c r="V11" s="2" t="inlineStr">
        <is>
          <t>Tallticka
Mindre märgborre
Kopparödla</t>
        </is>
      </c>
      <c r="W11">
        <f>HYPERLINK("https://klasma.github.io/Logging_0126/artfynd/A 31632-2026 artfynd.xlsx", "A 31632-2026")</f>
        <v/>
      </c>
      <c r="X11">
        <f>HYPERLINK("https://klasma.github.io/Logging_0126/kartor/A 31632-2026 karta.png", "A 31632-2026")</f>
        <v/>
      </c>
      <c r="Y11">
        <f>HYPERLINK("https://klasma.github.io/Logging_0126/kartor_geotiff/A 31632-2026 georefererad karta.tif", "A 31632-2026")</f>
        <v/>
      </c>
      <c r="AA11">
        <f>HYPERLINK("https://klasma.github.io/Logging_0126/klagomål/A 31632-2026 FSC-klagomål.docx", "A 31632-2026")</f>
        <v/>
      </c>
      <c r="AB11">
        <f>HYPERLINK("https://klasma.github.io/Logging_0126/klagomålsmail/A 31632-2026 FSC-klagomål mail.docx", "A 31632-2026")</f>
        <v/>
      </c>
      <c r="AC11">
        <f>HYPERLINK("https://klasma.github.io/Logging_0126/tillsyn/A 31632-2026 tillsynsbegäran.docx", "A 31632-2026")</f>
        <v/>
      </c>
      <c r="AD11">
        <f>HYPERLINK("https://klasma.github.io/Logging_0126/tillsynsmail/A 31632-2026 tillsynsbegäran mail.docx", "A 31632-2026")</f>
        <v/>
      </c>
    </row>
    <row r="12" ht="15" customHeight="1">
      <c r="A12" t="inlineStr">
        <is>
          <t>A 24254-2023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45076</v>
      </c>
      <c r="E12" s="1" t="n">
        <v>46321</v>
      </c>
      <c r="F12" t="inlineStr">
        <is>
          <t>STOCKHOLMS LÄN</t>
        </is>
      </c>
      <c r="G12" t="inlineStr">
        <is>
          <t>HUDDINGE</t>
        </is>
      </c>
      <c r="I12" t="n">
        <v>1.2</v>
      </c>
      <c r="J12" t="n">
        <v>0</v>
      </c>
      <c r="K12" t="n">
        <v>0</v>
      </c>
      <c r="L12" t="n">
        <v>2</v>
      </c>
      <c r="M12" t="n">
        <v>0</v>
      </c>
      <c r="N12" t="n">
        <v>1</v>
      </c>
      <c r="O12" t="n">
        <v>0</v>
      </c>
      <c r="P12" t="n">
        <v>0</v>
      </c>
      <c r="Q12" t="n">
        <v>3</v>
      </c>
      <c r="R12" t="n">
        <v>1</v>
      </c>
      <c r="S12" t="n">
        <v>3</v>
      </c>
      <c r="T12" t="n">
        <v>3</v>
      </c>
      <c r="U12" t="n">
        <v>3</v>
      </c>
      <c r="V12" s="2" t="inlineStr">
        <is>
          <t>Tallharticka
Kandelabersvamp
Vit vedfingersvamp</t>
        </is>
      </c>
      <c r="W12">
        <f>HYPERLINK("https://klasma.github.io/Logging_0126/artfynd/A 24254-2023 artfynd.xlsx", "A 24254-2023")</f>
        <v/>
      </c>
      <c r="X12">
        <f>HYPERLINK("https://klasma.github.io/Logging_0126/kartor/A 24254-2023 karta.png", "A 24254-2023")</f>
        <v/>
      </c>
      <c r="Y12">
        <f>HYPERLINK("https://klasma.github.io/Logging_0126/kartor_geotiff/A 24254-2023 georefererad karta.tif", "A 24254-2023")</f>
        <v/>
      </c>
      <c r="AA12">
        <f>HYPERLINK("https://klasma.github.io/Logging_0126/klagomål/A 24254-2023 FSC-klagomål.docx", "A 24254-2023")</f>
        <v/>
      </c>
      <c r="AB12">
        <f>HYPERLINK("https://klasma.github.io/Logging_0126/klagomålsmail/A 24254-2023 FSC-klagomål mail.docx", "A 24254-2023")</f>
        <v/>
      </c>
      <c r="AC12">
        <f>HYPERLINK("https://klasma.github.io/Logging_0126/tillsyn/A 24254-2023 tillsynsbegäran.docx", "A 24254-2023")</f>
        <v/>
      </c>
      <c r="AD12">
        <f>HYPERLINK("https://klasma.github.io/Logging_0126/tillsynsmail/A 24254-2023 tillsynsbegäran mail.docx", "A 24254-2023")</f>
        <v/>
      </c>
    </row>
    <row r="13" ht="15" customHeight="1">
      <c r="A13" t="inlineStr">
        <is>
          <t>A 24384-2023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45076</v>
      </c>
      <c r="E13" s="1" t="n">
        <v>46321</v>
      </c>
      <c r="F13" t="inlineStr">
        <is>
          <t>STOCKHOLMS LÄN</t>
        </is>
      </c>
      <c r="G13" t="inlineStr">
        <is>
          <t>HUDDINGE</t>
        </is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3</v>
      </c>
      <c r="T13" t="n">
        <v>4</v>
      </c>
      <c r="U13" t="n">
        <v>4</v>
      </c>
      <c r="V13" s="2" t="inlineStr">
        <is>
          <t>Kolflarnlav
Vedskivlav
Spillkråka</t>
        </is>
      </c>
      <c r="W13">
        <f>HYPERLINK("https://klasma.github.io/Logging_0126/artfynd/A 24384-2023 artfynd.xlsx", "A 24384-2023")</f>
        <v/>
      </c>
      <c r="X13">
        <f>HYPERLINK("https://klasma.github.io/Logging_0126/kartor/A 24384-2023 karta.png", "A 24384-2023")</f>
        <v/>
      </c>
      <c r="Y13">
        <f>HYPERLINK("https://klasma.github.io/Logging_0126/kartor_geotiff/A 24384-2023 georefererad karta.tif", "A 24384-2023")</f>
        <v/>
      </c>
      <c r="AA13">
        <f>HYPERLINK("https://klasma.github.io/Logging_0126/klagomål/A 24384-2023 FSC-klagomål.docx", "A 24384-2023")</f>
        <v/>
      </c>
      <c r="AB13">
        <f>HYPERLINK("https://klasma.github.io/Logging_0126/klagomålsmail/A 24384-2023 FSC-klagomål mail.docx", "A 24384-2023")</f>
        <v/>
      </c>
      <c r="AC13">
        <f>HYPERLINK("https://klasma.github.io/Logging_0126/tillsyn/A 24384-2023 tillsynsbegäran.docx", "A 24384-2023")</f>
        <v/>
      </c>
      <c r="AD13">
        <f>HYPERLINK("https://klasma.github.io/Logging_0126/tillsynsmail/A 24384-2023 tillsynsbegäran mail.docx", "A 24384-2023")</f>
        <v/>
      </c>
      <c r="AE13">
        <f>HYPERLINK("https://klasma.github.io/Logging_0126/fåglar/A 24384-2023 prioriterade fågelarter.docx", "A 24384-2023")</f>
        <v/>
      </c>
    </row>
    <row r="14" ht="15" customHeight="1">
      <c r="A14" t="inlineStr">
        <is>
          <t>A 24368-2023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45076</v>
      </c>
      <c r="E14" s="1" t="n">
        <v>46321</v>
      </c>
      <c r="F14" t="inlineStr">
        <is>
          <t>STOCKHOLMS LÄN</t>
        </is>
      </c>
      <c r="G14" t="inlineStr">
        <is>
          <t>HUDDINGE</t>
        </is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2</v>
      </c>
      <c r="V14" s="2" t="inlineStr">
        <is>
          <t>Motaggsvamp
Plattlummer</t>
        </is>
      </c>
      <c r="W14">
        <f>HYPERLINK("https://klasma.github.io/Logging_0126/artfynd/A 24368-2023 artfynd.xlsx", "A 24368-2023")</f>
        <v/>
      </c>
      <c r="X14">
        <f>HYPERLINK("https://klasma.github.io/Logging_0126/kartor/A 24368-2023 karta.png", "A 24368-2023")</f>
        <v/>
      </c>
      <c r="Y14">
        <f>HYPERLINK("https://klasma.github.io/Logging_0126/kartor_geotiff/A 24368-2023 georefererad karta.tif", "A 24368-2023")</f>
        <v/>
      </c>
      <c r="AA14">
        <f>HYPERLINK("https://klasma.github.io/Logging_0126/klagomål/A 24368-2023 FSC-klagomål.docx", "A 24368-2023")</f>
        <v/>
      </c>
      <c r="AB14">
        <f>HYPERLINK("https://klasma.github.io/Logging_0126/klagomålsmail/A 24368-2023 FSC-klagomål mail.docx", "A 24368-2023")</f>
        <v/>
      </c>
      <c r="AC14">
        <f>HYPERLINK("https://klasma.github.io/Logging_0126/tillsyn/A 24368-2023 tillsynsbegäran.docx", "A 24368-2023")</f>
        <v/>
      </c>
      <c r="AD14">
        <f>HYPERLINK("https://klasma.github.io/Logging_0126/tillsynsmail/A 24368-2023 tillsynsbegäran mail.docx", "A 24368-2023")</f>
        <v/>
      </c>
    </row>
    <row r="15" ht="15" customHeight="1">
      <c r="A15" t="inlineStr">
        <is>
          <t>A 25208-2026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46175</v>
      </c>
      <c r="E15" s="1" t="n">
        <v>46321</v>
      </c>
      <c r="F15" t="inlineStr">
        <is>
          <t>STOCKHOLMS LÄN</t>
        </is>
      </c>
      <c r="G15" t="inlineStr">
        <is>
          <t>HUDDINGE</t>
        </is>
      </c>
      <c r="I15" t="n">
        <v>1.1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3</v>
      </c>
      <c r="U15" t="n">
        <v>0</v>
      </c>
      <c r="V15" s="2" t="inlineStr">
        <is>
          <t>Knölvial
Gullviva</t>
        </is>
      </c>
      <c r="W15">
        <f>HYPERLINK("https://klasma.github.io/Logging_0126/artfynd/A 25208-2026 artfynd.xlsx", "A 25208-2026")</f>
        <v/>
      </c>
      <c r="X15">
        <f>HYPERLINK("https://klasma.github.io/Logging_0126/kartor/A 25208-2026 karta.png", "A 25208-2026")</f>
        <v/>
      </c>
      <c r="Y15">
        <f>HYPERLINK("https://klasma.github.io/Logging_0126/kartor_geotiff/A 25208-2026 georefererad karta.tif", "A 25208-2026")</f>
        <v/>
      </c>
      <c r="AA15">
        <f>HYPERLINK("https://klasma.github.io/Logging_0126/klagomål/A 25208-2026 FSC-klagomål.docx", "A 25208-2026")</f>
        <v/>
      </c>
      <c r="AB15">
        <f>HYPERLINK("https://klasma.github.io/Logging_0126/klagomålsmail/A 25208-2026 FSC-klagomål mail.docx", "A 25208-2026")</f>
        <v/>
      </c>
      <c r="AC15">
        <f>HYPERLINK("https://klasma.github.io/Logging_0126/tillsyn/A 25208-2026 tillsynsbegäran.docx", "A 25208-2026")</f>
        <v/>
      </c>
      <c r="AD15">
        <f>HYPERLINK("https://klasma.github.io/Logging_0126/tillsynsmail/A 25208-2026 tillsynsbegäran mail.docx", "A 25208-2026")</f>
        <v/>
      </c>
    </row>
    <row r="16" ht="15" customHeight="1">
      <c r="A16" t="inlineStr">
        <is>
          <t>A 31569-2026</t>
        </is>
      </c>
      <c r="B16" t="inlineStr">
        <is>
          <t>avverkningsanmälan</t>
        </is>
      </c>
      <c r="C16" t="inlineStr">
        <is>
          <t>Avverkning för annat ändamål</t>
        </is>
      </c>
      <c r="D16" s="1" t="n">
        <v>46223</v>
      </c>
      <c r="E16" s="1" t="n">
        <v>46321</v>
      </c>
      <c r="F16" t="inlineStr">
        <is>
          <t>STOCKHOLMS LÄN</t>
        </is>
      </c>
      <c r="G16" t="inlineStr">
        <is>
          <t>HUDDINGE</t>
        </is>
      </c>
      <c r="H16" t="inlineStr">
        <is>
          <t>Kommuner</t>
        </is>
      </c>
      <c r="I16" t="n">
        <v>0.4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2</v>
      </c>
      <c r="T16" t="n">
        <v>4</v>
      </c>
      <c r="U16" t="n">
        <v>0</v>
      </c>
      <c r="V16" s="2" t="inlineStr">
        <is>
          <t>Mindre blåvinge
Sexfläckig bastardsvärmare</t>
        </is>
      </c>
      <c r="W16">
        <f>HYPERLINK("https://klasma.github.io/Logging_0126/artfynd/A 31569-2026 artfynd.xlsx", "A 31569-2026")</f>
        <v/>
      </c>
      <c r="X16">
        <f>HYPERLINK("https://klasma.github.io/Logging_0126/kartor/A 31569-2026 karta.png", "A 31569-2026")</f>
        <v/>
      </c>
      <c r="Y16">
        <f>HYPERLINK("https://klasma.github.io/Logging_0126/kartor_geotiff/A 31569-2026 georefererad karta.tif", "A 31569-2026")</f>
        <v/>
      </c>
      <c r="AA16">
        <f>HYPERLINK("https://klasma.github.io/Logging_0126/klagomål/A 31569-2026 FSC-klagomål.docx", "A 31569-2026")</f>
        <v/>
      </c>
      <c r="AB16">
        <f>HYPERLINK("https://klasma.github.io/Logging_0126/klagomålsmail/A 31569-2026 FSC-klagomål mail.docx", "A 31569-2026")</f>
        <v/>
      </c>
      <c r="AC16">
        <f>HYPERLINK("https://klasma.github.io/Logging_0126/tillsyn/A 31569-2026 tillsynsbegäran.docx", "A 31569-2026")</f>
        <v/>
      </c>
      <c r="AD16">
        <f>HYPERLINK("https://klasma.github.io/Logging_0126/tillsynsmail/A 31569-2026 tillsynsbegäran mail.docx", "A 31569-2026")</f>
        <v/>
      </c>
    </row>
    <row r="17" ht="15" customHeight="1">
      <c r="A17" t="inlineStr">
        <is>
          <t>A 24262-2023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45076</v>
      </c>
      <c r="E17" s="1" t="n">
        <v>46321</v>
      </c>
      <c r="F17" t="inlineStr">
        <is>
          <t>STOCKHOLMS LÄN</t>
        </is>
      </c>
      <c r="G17" t="inlineStr">
        <is>
          <t>HUDDINGE</t>
        </is>
      </c>
      <c r="I17" t="n">
        <v>2.5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s="2" t="inlineStr">
        <is>
          <t>Tibast</t>
        </is>
      </c>
      <c r="W17">
        <f>HYPERLINK("https://klasma.github.io/Logging_0126/artfynd/A 24262-2023 artfynd.xlsx", "A 24262-2023")</f>
        <v/>
      </c>
      <c r="X17">
        <f>HYPERLINK("https://klasma.github.io/Logging_0126/kartor/A 24262-2023 karta.png", "A 24262-2023")</f>
        <v/>
      </c>
      <c r="Y17">
        <f>HYPERLINK("https://klasma.github.io/Logging_0126/kartor_geotiff/A 24262-2023 georefererad karta.tif", "A 24262-2023")</f>
        <v/>
      </c>
      <c r="AA17">
        <f>HYPERLINK("https://klasma.github.io/Logging_0126/klagomål/A 24262-2023 FSC-klagomål.docx", "A 24262-2023")</f>
        <v/>
      </c>
      <c r="AB17">
        <f>HYPERLINK("https://klasma.github.io/Logging_0126/klagomålsmail/A 24262-2023 FSC-klagomål mail.docx", "A 24262-2023")</f>
        <v/>
      </c>
      <c r="AC17">
        <f>HYPERLINK("https://klasma.github.io/Logging_0126/tillsyn/A 24262-2023 tillsynsbegäran.docx", "A 24262-2023")</f>
        <v/>
      </c>
      <c r="AD17">
        <f>HYPERLINK("https://klasma.github.io/Logging_0126/tillsynsmail/A 24262-2023 tillsynsbegäran mail.docx", "A 24262-2023")</f>
        <v/>
      </c>
    </row>
    <row r="18" ht="15" customHeight="1">
      <c r="A18" t="inlineStr">
        <is>
          <t>A 24233-2023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45076</v>
      </c>
      <c r="E18" s="1" t="n">
        <v>46321</v>
      </c>
      <c r="F18" t="inlineStr">
        <is>
          <t>STOCKHOLMS LÄN</t>
        </is>
      </c>
      <c r="G18" t="inlineStr">
        <is>
          <t>HUDDINGE</t>
        </is>
      </c>
      <c r="I18" t="n">
        <v>3.7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s="2" t="inlineStr">
        <is>
          <t>Svartvit taggsvamp</t>
        </is>
      </c>
      <c r="W18">
        <f>HYPERLINK("https://klasma.github.io/Logging_0126/artfynd/A 24233-2023 artfynd.xlsx", "A 24233-2023")</f>
        <v/>
      </c>
      <c r="X18">
        <f>HYPERLINK("https://klasma.github.io/Logging_0126/kartor/A 24233-2023 karta.png", "A 24233-2023")</f>
        <v/>
      </c>
      <c r="Y18">
        <f>HYPERLINK("https://klasma.github.io/Logging_0126/kartor_geotiff/A 24233-2023 georefererad karta.tif", "A 24233-2023")</f>
        <v/>
      </c>
      <c r="AA18">
        <f>HYPERLINK("https://klasma.github.io/Logging_0126/klagomål/A 24233-2023 FSC-klagomål.docx", "A 24233-2023")</f>
        <v/>
      </c>
      <c r="AB18">
        <f>HYPERLINK("https://klasma.github.io/Logging_0126/klagomålsmail/A 24233-2023 FSC-klagomål mail.docx", "A 24233-2023")</f>
        <v/>
      </c>
      <c r="AC18">
        <f>HYPERLINK("https://klasma.github.io/Logging_0126/tillsyn/A 24233-2023 tillsynsbegäran.docx", "A 24233-2023")</f>
        <v/>
      </c>
      <c r="AD18">
        <f>HYPERLINK("https://klasma.github.io/Logging_0126/tillsynsmail/A 24233-2023 tillsynsbegäran mail.docx", "A 24233-2023")</f>
        <v/>
      </c>
    </row>
    <row r="19" ht="15" customHeight="1">
      <c r="A19" t="inlineStr">
        <is>
          <t>A 31514-2026</t>
        </is>
      </c>
      <c r="B19" t="inlineStr">
        <is>
          <t>avverkningsanmälan</t>
        </is>
      </c>
      <c r="C19" t="inlineStr">
        <is>
          <t>Avverkning för annat ändamål</t>
        </is>
      </c>
      <c r="D19" s="1" t="n">
        <v>46223</v>
      </c>
      <c r="E19" s="1" t="n">
        <v>46321</v>
      </c>
      <c r="F19" t="inlineStr">
        <is>
          <t>STOCKHOLMS LÄN</t>
        </is>
      </c>
      <c r="G19" t="inlineStr">
        <is>
          <t>HUDDINGE</t>
        </is>
      </c>
      <c r="H19" t="inlineStr">
        <is>
          <t>Kommuner</t>
        </is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2</v>
      </c>
      <c r="U19" t="n">
        <v>0</v>
      </c>
      <c r="V19" s="2" t="inlineStr">
        <is>
          <t>Tibast</t>
        </is>
      </c>
      <c r="W19">
        <f>HYPERLINK("https://klasma.github.io/Logging_0126/artfynd/A 31514-2026 artfynd.xlsx", "A 31514-2026")</f>
        <v/>
      </c>
      <c r="X19">
        <f>HYPERLINK("https://klasma.github.io/Logging_0126/kartor/A 31514-2026 karta.png", "A 31514-2026")</f>
        <v/>
      </c>
      <c r="Y19">
        <f>HYPERLINK("https://klasma.github.io/Logging_0126/kartor_geotiff/A 31514-2026 georefererad karta.tif", "A 31514-2026")</f>
        <v/>
      </c>
      <c r="AA19">
        <f>HYPERLINK("https://klasma.github.io/Logging_0126/klagomål/A 31514-2026 FSC-klagomål.docx", "A 31514-2026")</f>
        <v/>
      </c>
      <c r="AB19">
        <f>HYPERLINK("https://klasma.github.io/Logging_0126/klagomålsmail/A 31514-2026 FSC-klagomål mail.docx", "A 31514-2026")</f>
        <v/>
      </c>
      <c r="AC19">
        <f>HYPERLINK("https://klasma.github.io/Logging_0126/tillsyn/A 31514-2026 tillsynsbegäran.docx", "A 31514-2026")</f>
        <v/>
      </c>
      <c r="AD19">
        <f>HYPERLINK("https://klasma.github.io/Logging_0126/tillsynsmail/A 31514-2026 tillsynsbegäran mail.docx", "A 31514-2026")</f>
        <v/>
      </c>
    </row>
    <row r="20" ht="15" customHeight="1">
      <c r="A20" t="inlineStr">
        <is>
          <t>A 31568-2026</t>
        </is>
      </c>
      <c r="B20" t="inlineStr">
        <is>
          <t>avverkningsanmälan</t>
        </is>
      </c>
      <c r="C20" t="inlineStr">
        <is>
          <t>Avverkning för annat ändamål</t>
        </is>
      </c>
      <c r="D20" s="1" t="n">
        <v>46223</v>
      </c>
      <c r="E20" s="1" t="n">
        <v>46321</v>
      </c>
      <c r="F20" t="inlineStr">
        <is>
          <t>STOCKHOLMS LÄN</t>
        </is>
      </c>
      <c r="G20" t="inlineStr">
        <is>
          <t>HUDDINGE</t>
        </is>
      </c>
      <c r="H20" t="inlineStr">
        <is>
          <t>Kommuner</t>
        </is>
      </c>
      <c r="I20" t="n">
        <v>0.2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Skogsödla</t>
        </is>
      </c>
      <c r="W20">
        <f>HYPERLINK("https://klasma.github.io/Logging_0126/artfynd/A 31568-2026 artfynd.xlsx", "A 31568-2026")</f>
        <v/>
      </c>
      <c r="X20">
        <f>HYPERLINK("https://klasma.github.io/Logging_0126/kartor/A 31568-2026 karta.png", "A 31568-2026")</f>
        <v/>
      </c>
      <c r="Y20">
        <f>HYPERLINK("https://klasma.github.io/Logging_0126/kartor_geotiff/A 31568-2026 georefererad karta.tif", "A 31568-2026")</f>
        <v/>
      </c>
      <c r="AA20">
        <f>HYPERLINK("https://klasma.github.io/Logging_0126/klagomål/A 31568-2026 FSC-klagomål.docx", "A 31568-2026")</f>
        <v/>
      </c>
      <c r="AB20">
        <f>HYPERLINK("https://klasma.github.io/Logging_0126/klagomålsmail/A 31568-2026 FSC-klagomål mail.docx", "A 31568-2026")</f>
        <v/>
      </c>
      <c r="AC20">
        <f>HYPERLINK("https://klasma.github.io/Logging_0126/tillsyn/A 31568-2026 tillsynsbegäran.docx", "A 31568-2026")</f>
        <v/>
      </c>
      <c r="AD20">
        <f>HYPERLINK("https://klasma.github.io/Logging_0126/tillsynsmail/A 31568-2026 tillsynsbegäran mail.docx", "A 31568-2026")</f>
        <v/>
      </c>
    </row>
    <row r="21" ht="15" customHeight="1">
      <c r="A21" t="inlineStr">
        <is>
          <t>A 31633-2026</t>
        </is>
      </c>
      <c r="B21" t="inlineStr">
        <is>
          <t>avverkningsanmälan</t>
        </is>
      </c>
      <c r="C21" t="inlineStr">
        <is>
          <t>Avverkning för annat ändamål</t>
        </is>
      </c>
      <c r="D21" s="1" t="n">
        <v>46223</v>
      </c>
      <c r="E21" s="1" t="n">
        <v>46321</v>
      </c>
      <c r="F21" t="inlineStr">
        <is>
          <t>STOCKHOLMS LÄN</t>
        </is>
      </c>
      <c r="G21" t="inlineStr">
        <is>
          <t>HUDDINGE</t>
        </is>
      </c>
      <c r="H21" t="inlineStr">
        <is>
          <t>Kommuner</t>
        </is>
      </c>
      <c r="I21" t="n">
        <v>2.5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0</v>
      </c>
      <c r="V21" s="2" t="inlineStr">
        <is>
          <t>Kopparödla</t>
        </is>
      </c>
      <c r="W21">
        <f>HYPERLINK("https://klasma.github.io/Logging_0126/artfynd/A 31633-2026 artfynd.xlsx", "A 31633-2026")</f>
        <v/>
      </c>
      <c r="X21">
        <f>HYPERLINK("https://klasma.github.io/Logging_0126/kartor/A 31633-2026 karta.png", "A 31633-2026")</f>
        <v/>
      </c>
      <c r="Y21">
        <f>HYPERLINK("https://klasma.github.io/Logging_0126/kartor_geotiff/A 31633-2026 georefererad karta.tif", "A 31633-2026")</f>
        <v/>
      </c>
      <c r="AA21">
        <f>HYPERLINK("https://klasma.github.io/Logging_0126/klagomål/A 31633-2026 FSC-klagomål.docx", "A 31633-2026")</f>
        <v/>
      </c>
      <c r="AB21">
        <f>HYPERLINK("https://klasma.github.io/Logging_0126/klagomålsmail/A 31633-2026 FSC-klagomål mail.docx", "A 31633-2026")</f>
        <v/>
      </c>
      <c r="AC21">
        <f>HYPERLINK("https://klasma.github.io/Logging_0126/tillsyn/A 31633-2026 tillsynsbegäran.docx", "A 31633-2026")</f>
        <v/>
      </c>
      <c r="AD21">
        <f>HYPERLINK("https://klasma.github.io/Logging_0126/tillsynsmail/A 31633-2026 tillsynsbegäran mail.docx", "A 31633-2026")</f>
        <v/>
      </c>
    </row>
    <row r="22" ht="15" customHeight="1">
      <c r="A22" t="inlineStr">
        <is>
          <t>A 31795-2026</t>
        </is>
      </c>
      <c r="B22" t="inlineStr">
        <is>
          <t>avverkningsanmälan</t>
        </is>
      </c>
      <c r="C22" t="inlineStr">
        <is>
          <t>Avverkning för annat ändamål</t>
        </is>
      </c>
      <c r="D22" s="1" t="n">
        <v>46230</v>
      </c>
      <c r="E22" s="1" t="n">
        <v>46321</v>
      </c>
      <c r="F22" t="inlineStr">
        <is>
          <t>STOCKHOLMS LÄN</t>
        </is>
      </c>
      <c r="G22" t="inlineStr">
        <is>
          <t>HUDDINGE</t>
        </is>
      </c>
      <c r="H22" t="inlineStr">
        <is>
          <t>Kommuner</t>
        </is>
      </c>
      <c r="I22" t="n">
        <v>2.1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Revlummer</t>
        </is>
      </c>
      <c r="W22">
        <f>HYPERLINK("https://klasma.github.io/Logging_0126/artfynd/A 31795-2026 artfynd.xlsx", "A 31795-2026")</f>
        <v/>
      </c>
      <c r="X22">
        <f>HYPERLINK("https://klasma.github.io/Logging_0126/kartor/A 31795-2026 karta.png", "A 31795-2026")</f>
        <v/>
      </c>
      <c r="Y22">
        <f>HYPERLINK("https://klasma.github.io/Logging_0126/kartor_geotiff/A 31795-2026 georefererad karta.tif", "A 31795-2026")</f>
        <v/>
      </c>
      <c r="AA22">
        <f>HYPERLINK("https://klasma.github.io/Logging_0126/klagomål/A 31795-2026 FSC-klagomål.docx", "A 31795-2026")</f>
        <v/>
      </c>
      <c r="AB22">
        <f>HYPERLINK("https://klasma.github.io/Logging_0126/klagomålsmail/A 31795-2026 FSC-klagomål mail.docx", "A 31795-2026")</f>
        <v/>
      </c>
      <c r="AC22">
        <f>HYPERLINK("https://klasma.github.io/Logging_0126/tillsyn/A 31795-2026 tillsynsbegäran.docx", "A 31795-2026")</f>
        <v/>
      </c>
      <c r="AD22">
        <f>HYPERLINK("https://klasma.github.io/Logging_0126/tillsynsmail/A 31795-2026 tillsynsbegäran mail.docx", "A 31795-2026")</f>
        <v/>
      </c>
    </row>
    <row r="23" ht="15" customHeight="1">
      <c r="A23" t="inlineStr">
        <is>
          <t>A 24363-2023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45076</v>
      </c>
      <c r="E23" s="1" t="n">
        <v>46321</v>
      </c>
      <c r="F23" t="inlineStr">
        <is>
          <t>STOCKHOLMS LÄN</t>
        </is>
      </c>
      <c r="G23" t="inlineStr">
        <is>
          <t>HUDDINGE</t>
        </is>
      </c>
      <c r="I23" t="n">
        <v>2.4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Revlummer</t>
        </is>
      </c>
      <c r="W23">
        <f>HYPERLINK("https://klasma.github.io/Logging_0126/artfynd/A 24363-2023 artfynd.xlsx", "A 24363-2023")</f>
        <v/>
      </c>
      <c r="X23">
        <f>HYPERLINK("https://klasma.github.io/Logging_0126/kartor/A 24363-2023 karta.png", "A 24363-2023")</f>
        <v/>
      </c>
      <c r="Y23">
        <f>HYPERLINK("https://klasma.github.io/Logging_0126/kartor_geotiff/A 24363-2023 georefererad karta.tif", "A 24363-2023")</f>
        <v/>
      </c>
      <c r="AA23">
        <f>HYPERLINK("https://klasma.github.io/Logging_0126/klagomål/A 24363-2023 FSC-klagomål.docx", "A 24363-2023")</f>
        <v/>
      </c>
      <c r="AB23">
        <f>HYPERLINK("https://klasma.github.io/Logging_0126/klagomålsmail/A 24363-2023 FSC-klagomål mail.docx", "A 24363-2023")</f>
        <v/>
      </c>
      <c r="AC23">
        <f>HYPERLINK("https://klasma.github.io/Logging_0126/tillsyn/A 24363-2023 tillsynsbegäran.docx", "A 24363-2023")</f>
        <v/>
      </c>
      <c r="AD23">
        <f>HYPERLINK("https://klasma.github.io/Logging_0126/tillsynsmail/A 24363-2023 tillsynsbegäran mail.docx", "A 24363-2023")</f>
        <v/>
      </c>
    </row>
    <row r="24" ht="15" customHeight="1">
      <c r="A24" t="inlineStr">
        <is>
          <t>A 24257-2023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45076</v>
      </c>
      <c r="E24" s="1" t="n">
        <v>46321</v>
      </c>
      <c r="F24" t="inlineStr">
        <is>
          <t>STOCKHOLMS LÄN</t>
        </is>
      </c>
      <c r="G24" t="inlineStr">
        <is>
          <t>HUDDINGE</t>
        </is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Kolflarnlav</t>
        </is>
      </c>
      <c r="W24">
        <f>HYPERLINK("https://klasma.github.io/Logging_0126/artfynd/A 24257-2023 artfynd.xlsx", "A 24257-2023")</f>
        <v/>
      </c>
      <c r="X24">
        <f>HYPERLINK("https://klasma.github.io/Logging_0126/kartor/A 24257-2023 karta.png", "A 24257-2023")</f>
        <v/>
      </c>
      <c r="Y24">
        <f>HYPERLINK("https://klasma.github.io/Logging_0126/kartor_geotiff/A 24257-2023 georefererad karta.tif", "A 24257-2023")</f>
        <v/>
      </c>
      <c r="AA24">
        <f>HYPERLINK("https://klasma.github.io/Logging_0126/klagomål/A 24257-2023 FSC-klagomål.docx", "A 24257-2023")</f>
        <v/>
      </c>
      <c r="AB24">
        <f>HYPERLINK("https://klasma.github.io/Logging_0126/klagomålsmail/A 24257-2023 FSC-klagomål mail.docx", "A 24257-2023")</f>
        <v/>
      </c>
      <c r="AC24">
        <f>HYPERLINK("https://klasma.github.io/Logging_0126/tillsyn/A 24257-2023 tillsynsbegäran.docx", "A 24257-2023")</f>
        <v/>
      </c>
      <c r="AD24">
        <f>HYPERLINK("https://klasma.github.io/Logging_0126/tillsynsmail/A 24257-2023 tillsynsbegäran mail.docx", "A 24257-2023")</f>
        <v/>
      </c>
    </row>
    <row r="25" ht="15" customHeight="1">
      <c r="A25" t="inlineStr">
        <is>
          <t>A 31650-2026</t>
        </is>
      </c>
      <c r="B25" t="inlineStr">
        <is>
          <t>avverkningsanmälan</t>
        </is>
      </c>
      <c r="C25" t="inlineStr">
        <is>
          <t>Avverkning för annat ändamål</t>
        </is>
      </c>
      <c r="D25" s="1" t="n">
        <v>46225</v>
      </c>
      <c r="E25" s="1" t="n">
        <v>46321</v>
      </c>
      <c r="F25" t="inlineStr">
        <is>
          <t>STOCKHOLMS LÄN</t>
        </is>
      </c>
      <c r="G25" t="inlineStr">
        <is>
          <t>HUDDINGE</t>
        </is>
      </c>
      <c r="H25" t="inlineStr">
        <is>
          <t>Kommuner</t>
        </is>
      </c>
      <c r="I25" t="n">
        <v>2.1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31645-2026</t>
        </is>
      </c>
      <c r="B26" t="inlineStr">
        <is>
          <t>avverkningsanmälan</t>
        </is>
      </c>
      <c r="C26" t="inlineStr">
        <is>
          <t>Avverkning för annat ändamål</t>
        </is>
      </c>
      <c r="D26" s="1" t="n">
        <v>46225</v>
      </c>
      <c r="E26" s="1" t="n">
        <v>46321</v>
      </c>
      <c r="F26" t="inlineStr">
        <is>
          <t>STOCKHOLMS LÄN</t>
        </is>
      </c>
      <c r="G26" t="inlineStr">
        <is>
          <t>HUDDINGE</t>
        </is>
      </c>
      <c r="H26" t="inlineStr">
        <is>
          <t>Kommuner</t>
        </is>
      </c>
      <c r="I26" t="n">
        <v>0.7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31651-2026</t>
        </is>
      </c>
      <c r="B27" t="inlineStr">
        <is>
          <t>avverkningsanmälan</t>
        </is>
      </c>
      <c r="C27" t="inlineStr">
        <is>
          <t>Avverkning för annat ändamål</t>
        </is>
      </c>
      <c r="D27" s="1" t="n">
        <v>46223</v>
      </c>
      <c r="E27" s="1" t="n">
        <v>46321</v>
      </c>
      <c r="F27" t="inlineStr">
        <is>
          <t>STOCKHOLMS LÄN</t>
        </is>
      </c>
      <c r="G27" t="inlineStr">
        <is>
          <t>HUDDINGE</t>
        </is>
      </c>
      <c r="H27" t="inlineStr">
        <is>
          <t>Kommuner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  <c r="X27">
        <f>HYPERLINK("https://klasma.github.io/Logging_0126/kartor/A 31651-2026 karta.png", "A 31651-2026")</f>
        <v/>
      </c>
      <c r="Y27">
        <f>HYPERLINK("https://klasma.github.io/Logging_0126/kartor_geotiff/A 31651-2026 georefererad karta.tif", "A 31651-2026")</f>
        <v/>
      </c>
      <c r="AA27">
        <f>HYPERLINK("https://klasma.github.io/Logging_0126/klagomål/A 31651-2026 FSC-klagomål.docx", "A 31651-2026")</f>
        <v/>
      </c>
      <c r="AB27">
        <f>HYPERLINK("https://klasma.github.io/Logging_0126/klagomålsmail/A 31651-2026 FSC-klagomål mail.docx", "A 31651-2026")</f>
        <v/>
      </c>
      <c r="AC27">
        <f>HYPERLINK("https://klasma.github.io/Logging_0126/tillsyn/A 31651-2026 tillsynsbegäran.docx", "A 31651-2026")</f>
        <v/>
      </c>
      <c r="AD27">
        <f>HYPERLINK("https://klasma.github.io/Logging_0126/tillsynsmail/A 31651-2026 tillsynsbegäran mail.docx", "A 31651-2026")</f>
        <v/>
      </c>
    </row>
    <row r="28" ht="15" customHeight="1">
      <c r="A28" t="inlineStr">
        <is>
          <t>A 27561-2025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45813</v>
      </c>
      <c r="E28" s="1" t="n">
        <v>46321</v>
      </c>
      <c r="F28" t="inlineStr">
        <is>
          <t>STOCKHOLMS LÄN</t>
        </is>
      </c>
      <c r="G28" t="inlineStr">
        <is>
          <t>HUDDINGE</t>
        </is>
      </c>
      <c r="I28" t="n">
        <v>0.7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47173-2022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44852</v>
      </c>
      <c r="E29" s="1" t="n">
        <v>46321</v>
      </c>
      <c r="F29" t="inlineStr">
        <is>
          <t>STOCKHOLMS LÄN</t>
        </is>
      </c>
      <c r="G29" t="inlineStr">
        <is>
          <t>HUDDINGE</t>
        </is>
      </c>
      <c r="I29" t="n">
        <v>1.9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31246-2022</t>
        </is>
      </c>
      <c r="B30" t="inlineStr">
        <is>
          <t>avverkningsanmälan</t>
        </is>
      </c>
      <c r="C30" t="inlineStr">
        <is>
          <t>Avverkning för annat ändamål</t>
        </is>
      </c>
      <c r="D30" s="1" t="n">
        <v>44771</v>
      </c>
      <c r="E30" s="1" t="n">
        <v>46321</v>
      </c>
      <c r="F30" t="inlineStr">
        <is>
          <t>STOCKHOLMS LÄN</t>
        </is>
      </c>
      <c r="G30" t="inlineStr">
        <is>
          <t>HUDDINGE</t>
        </is>
      </c>
      <c r="I30" t="n">
        <v>4.3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>
      <c r="A31" t="inlineStr">
        <is>
          <t>A 35404-2022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44798</v>
      </c>
      <c r="E31" s="1" t="n">
        <v>46321</v>
      </c>
      <c r="F31" t="inlineStr">
        <is>
          <t>STOCKHOLMS LÄN</t>
        </is>
      </c>
      <c r="G31" t="inlineStr">
        <is>
          <t>HUDDINGE</t>
        </is>
      </c>
      <c r="H31" t="inlineStr">
        <is>
          <t>Kommuner</t>
        </is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2026-10-26T03:08:12Z</dcterms:created>
  <dcterms:modified xmlns:dcterms="http://purl.org/dc/terms/" xmlns:xsi="http://www.w3.org/2001/XMLSchema-instance" xsi:type="dcterms:W3CDTF">2026-10-26T03:08:12Z</dcterms:modified>
</cp:coreProperties>
</file>