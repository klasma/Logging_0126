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46043</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46043</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46043</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46043</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46043</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46043</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46043</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46043</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46043</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491-2026</t>
        </is>
      </c>
      <c r="B11" s="1" t="n">
        <v>46029.42581018519</v>
      </c>
      <c r="C11" s="1" t="n">
        <v>46043</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24384-2023</t>
        </is>
      </c>
      <c r="B12" s="1" t="n">
        <v>45076</v>
      </c>
      <c r="C12" s="1" t="n">
        <v>46043</v>
      </c>
      <c r="D12" t="inlineStr">
        <is>
          <t>STOCKHOLMS LÄN</t>
        </is>
      </c>
      <c r="E12" t="inlineStr">
        <is>
          <t>HUDDINGE</t>
        </is>
      </c>
      <c r="G12" t="n">
        <v>1</v>
      </c>
      <c r="H12" t="n">
        <v>0</v>
      </c>
      <c r="I12" t="n">
        <v>0</v>
      </c>
      <c r="J12" t="n">
        <v>1</v>
      </c>
      <c r="K12" t="n">
        <v>0</v>
      </c>
      <c r="L12" t="n">
        <v>0</v>
      </c>
      <c r="M12" t="n">
        <v>0</v>
      </c>
      <c r="N12" t="n">
        <v>0</v>
      </c>
      <c r="O12" t="n">
        <v>1</v>
      </c>
      <c r="P12" t="n">
        <v>0</v>
      </c>
      <c r="Q12" t="n">
        <v>1</v>
      </c>
      <c r="R12" s="2" t="inlineStr">
        <is>
          <t>Kolflarnlav</t>
        </is>
      </c>
      <c r="S12">
        <f>HYPERLINK("https://klasma.github.io/Logging_0126/artfynd/A 24384-2023 artfynd.xlsx", "A 24384-2023")</f>
        <v/>
      </c>
      <c r="T12">
        <f>HYPERLINK("https://klasma.github.io/Logging_0126/kartor/A 24384-2023 karta.png", "A 24384-2023")</f>
        <v/>
      </c>
      <c r="V12">
        <f>HYPERLINK("https://klasma.github.io/Logging_0126/klagomål/A 24384-2023 FSC-klagomål.docx", "A 24384-2023")</f>
        <v/>
      </c>
      <c r="W12">
        <f>HYPERLINK("https://klasma.github.io/Logging_0126/klagomålsmail/A 24384-2023 FSC-klagomål mail.docx", "A 24384-2023")</f>
        <v/>
      </c>
      <c r="X12">
        <f>HYPERLINK("https://klasma.github.io/Logging_0126/tillsyn/A 24384-2023 tillsynsbegäran.docx", "A 24384-2023")</f>
        <v/>
      </c>
      <c r="Y12">
        <f>HYPERLINK("https://klasma.github.io/Logging_0126/tillsynsmail/A 24384-2023 tillsynsbegäran mail.docx", "A 24384-2023")</f>
        <v/>
      </c>
    </row>
    <row r="13" ht="15" customHeight="1">
      <c r="A13" t="inlineStr">
        <is>
          <t>A 24262-2023</t>
        </is>
      </c>
      <c r="B13" s="1" t="n">
        <v>45076</v>
      </c>
      <c r="C13" s="1" t="n">
        <v>46043</v>
      </c>
      <c r="D13" t="inlineStr">
        <is>
          <t>STOCKHOLMS LÄN</t>
        </is>
      </c>
      <c r="E13" t="inlineStr">
        <is>
          <t>HUDDINGE</t>
        </is>
      </c>
      <c r="G13" t="n">
        <v>2.5</v>
      </c>
      <c r="H13" t="n">
        <v>0</v>
      </c>
      <c r="I13" t="n">
        <v>1</v>
      </c>
      <c r="J13" t="n">
        <v>0</v>
      </c>
      <c r="K13" t="n">
        <v>0</v>
      </c>
      <c r="L13" t="n">
        <v>0</v>
      </c>
      <c r="M13" t="n">
        <v>0</v>
      </c>
      <c r="N13" t="n">
        <v>0</v>
      </c>
      <c r="O13" t="n">
        <v>0</v>
      </c>
      <c r="P13" t="n">
        <v>0</v>
      </c>
      <c r="Q13" t="n">
        <v>1</v>
      </c>
      <c r="R13" s="2" t="inlineStr">
        <is>
          <t>Tibast</t>
        </is>
      </c>
      <c r="S13">
        <f>HYPERLINK("https://klasma.github.io/Logging_0126/artfynd/A 24262-2023 artfynd.xlsx", "A 24262-2023")</f>
        <v/>
      </c>
      <c r="T13">
        <f>HYPERLINK("https://klasma.github.io/Logging_0126/kartor/A 24262-2023 karta.png", "A 24262-2023")</f>
        <v/>
      </c>
      <c r="V13">
        <f>HYPERLINK("https://klasma.github.io/Logging_0126/klagomål/A 24262-2023 FSC-klagomål.docx", "A 24262-2023")</f>
        <v/>
      </c>
      <c r="W13">
        <f>HYPERLINK("https://klasma.github.io/Logging_0126/klagomålsmail/A 24262-2023 FSC-klagomål mail.docx", "A 24262-2023")</f>
        <v/>
      </c>
      <c r="X13">
        <f>HYPERLINK("https://klasma.github.io/Logging_0126/tillsyn/A 24262-2023 tillsynsbegäran.docx", "A 24262-2023")</f>
        <v/>
      </c>
      <c r="Y13">
        <f>HYPERLINK("https://klasma.github.io/Logging_0126/tillsynsmail/A 24262-2023 tillsynsbegäran mail.docx", "A 24262-2023")</f>
        <v/>
      </c>
    </row>
    <row r="14" ht="15" customHeight="1">
      <c r="A14" t="inlineStr">
        <is>
          <t>A 24368-2023</t>
        </is>
      </c>
      <c r="B14" s="1" t="n">
        <v>45076</v>
      </c>
      <c r="C14" s="1" t="n">
        <v>46043</v>
      </c>
      <c r="D14" t="inlineStr">
        <is>
          <t>STOCKHOLMS LÄN</t>
        </is>
      </c>
      <c r="E14" t="inlineStr">
        <is>
          <t>HUDDINGE</t>
        </is>
      </c>
      <c r="G14" t="n">
        <v>3</v>
      </c>
      <c r="H14" t="n">
        <v>1</v>
      </c>
      <c r="I14" t="n">
        <v>1</v>
      </c>
      <c r="J14" t="n">
        <v>0</v>
      </c>
      <c r="K14" t="n">
        <v>0</v>
      </c>
      <c r="L14" t="n">
        <v>0</v>
      </c>
      <c r="M14" t="n">
        <v>0</v>
      </c>
      <c r="N14" t="n">
        <v>0</v>
      </c>
      <c r="O14" t="n">
        <v>0</v>
      </c>
      <c r="P14" t="n">
        <v>0</v>
      </c>
      <c r="Q14" t="n">
        <v>1</v>
      </c>
      <c r="R14" s="2" t="inlineStr">
        <is>
          <t>Plattlummer</t>
        </is>
      </c>
      <c r="S14">
        <f>HYPERLINK("https://klasma.github.io/Logging_0126/artfynd/A 24368-2023 artfynd.xlsx", "A 24368-2023")</f>
        <v/>
      </c>
      <c r="T14">
        <f>HYPERLINK("https://klasma.github.io/Logging_0126/kartor/A 24368-2023 karta.png", "A 24368-2023")</f>
        <v/>
      </c>
      <c r="V14">
        <f>HYPERLINK("https://klasma.github.io/Logging_0126/klagomål/A 24368-2023 FSC-klagomål.docx", "A 24368-2023")</f>
        <v/>
      </c>
      <c r="W14">
        <f>HYPERLINK("https://klasma.github.io/Logging_0126/klagomålsmail/A 24368-2023 FSC-klagomål mail.docx", "A 24368-2023")</f>
        <v/>
      </c>
      <c r="X14">
        <f>HYPERLINK("https://klasma.github.io/Logging_0126/tillsyn/A 24368-2023 tillsynsbegäran.docx", "A 24368-2023")</f>
        <v/>
      </c>
      <c r="Y14">
        <f>HYPERLINK("https://klasma.github.io/Logging_0126/tillsynsmail/A 24368-2023 tillsynsbegäran mail.docx", "A 24368-2023")</f>
        <v/>
      </c>
    </row>
    <row r="15" ht="15" customHeight="1">
      <c r="A15" t="inlineStr">
        <is>
          <t>A 24233-2023</t>
        </is>
      </c>
      <c r="B15" s="1" t="n">
        <v>45076</v>
      </c>
      <c r="C15" s="1" t="n">
        <v>46043</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46043</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46043</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46043</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46043</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27589-2025</t>
        </is>
      </c>
      <c r="B20" s="1" t="n">
        <v>45813.51070601852</v>
      </c>
      <c r="C20" s="1" t="n">
        <v>46043</v>
      </c>
      <c r="D20" t="inlineStr">
        <is>
          <t>STOCKHOLMS LÄN</t>
        </is>
      </c>
      <c r="E20" t="inlineStr">
        <is>
          <t>HUDDINGE</t>
        </is>
      </c>
      <c r="G20" t="n">
        <v>2.7</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46043</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46043</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31246-2022</t>
        </is>
      </c>
      <c r="B23" s="1" t="n">
        <v>44771</v>
      </c>
      <c r="C23" s="1" t="n">
        <v>46043</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row r="24">
      <c r="A24" t="inlineStr">
        <is>
          <t>A 35404-2022</t>
        </is>
      </c>
      <c r="B24" s="1" t="n">
        <v>44798</v>
      </c>
      <c r="C24" s="1" t="n">
        <v>46043</v>
      </c>
      <c r="D24" t="inlineStr">
        <is>
          <t>STOCKHOLMS LÄN</t>
        </is>
      </c>
      <c r="E24" t="inlineStr">
        <is>
          <t>HUDDINGE</t>
        </is>
      </c>
      <c r="F24" t="inlineStr">
        <is>
          <t>Kommuner</t>
        </is>
      </c>
      <c r="G24" t="n">
        <v>1.4</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2026-01-21T10:54:10Z</dcterms:created>
  <dcterms:modified xmlns:dcterms="http://purl.org/dc/terms/" xmlns:xsi="http://www.w3.org/2001/XMLSchema-instance" xsi:type="dcterms:W3CDTF">2026-01-21T10:54:10Z</dcterms:modified>
</cp:coreProperties>
</file>