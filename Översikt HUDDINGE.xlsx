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46229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46229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46229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46229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46229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46229</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46229</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46229</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46229</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46229</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46229</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46229</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46229</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46229</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491-2026</t>
        </is>
      </c>
      <c r="B21" t="inlineStr">
        <is>
          <t>avverkningsanmälan</t>
        </is>
      </c>
      <c r="C21" t="inlineStr">
        <is>
          <t>Föryngringsavverkning</t>
        </is>
      </c>
      <c r="D21" s="1" t="n">
        <v>46029</v>
      </c>
      <c r="E21" s="1" t="n">
        <v>46229</v>
      </c>
      <c r="F21" t="inlineStr">
        <is>
          <t>STOCKHOLMS LÄN</t>
        </is>
      </c>
      <c r="G21" t="inlineStr">
        <is>
          <t>HUDDINGE</t>
        </is>
      </c>
      <c r="I21" t="n">
        <v>3.2</v>
      </c>
      <c r="J21" t="n">
        <v>1</v>
      </c>
      <c r="K21" t="n">
        <v>0</v>
      </c>
      <c r="L21" t="n">
        <v>0</v>
      </c>
      <c r="M21" t="n">
        <v>0</v>
      </c>
      <c r="N21" t="n">
        <v>0</v>
      </c>
      <c r="O21" t="n">
        <v>0</v>
      </c>
      <c r="P21" t="n">
        <v>0</v>
      </c>
      <c r="Q21" t="n">
        <v>0</v>
      </c>
      <c r="R21" t="n">
        <v>0</v>
      </c>
      <c r="S21" t="n">
        <v>1</v>
      </c>
      <c r="T21" t="n">
        <v>2</v>
      </c>
      <c r="U21" t="n">
        <v>0</v>
      </c>
      <c r="V21" s="2" t="inlineStr">
        <is>
          <t>Blåsippa</t>
        </is>
      </c>
      <c r="W21">
        <f>HYPERLINK("https://klasma.github.io/Logging_0126/artfynd/A 491-2026 artfynd.xlsx", "A 491-2026")</f>
        <v/>
      </c>
      <c r="X21">
        <f>HYPERLINK("https://klasma.github.io/Logging_0126/kartor/A 491-2026 karta.png", "A 491-2026")</f>
        <v/>
      </c>
      <c r="Y21">
        <f>HYPERLINK("https://klasma.github.io/Logging_0126/kartor_geotiff/A 491-2026 georefererad karta.tif", "A 491-2026")</f>
        <v/>
      </c>
      <c r="AA21">
        <f>HYPERLINK("https://klasma.github.io/Logging_0126/klagomål/A 491-2026 FSC-klagomål.docx", "A 491-2026")</f>
        <v/>
      </c>
      <c r="AB21">
        <f>HYPERLINK("https://klasma.github.io/Logging_0126/klagomålsmail/A 491-2026 FSC-klagomål mail.docx", "A 491-2026")</f>
        <v/>
      </c>
      <c r="AC21">
        <f>HYPERLINK("https://klasma.github.io/Logging_0126/tillsyn/A 491-2026 tillsynsbegäran.docx", "A 491-2026")</f>
        <v/>
      </c>
      <c r="AD21">
        <f>HYPERLINK("https://klasma.github.io/Logging_0126/tillsynsmail/A 491-2026 tillsynsbegäran mail.docx", "A 491-2026")</f>
        <v/>
      </c>
    </row>
    <row r="22" ht="15" customHeight="1">
      <c r="A22" t="inlineStr">
        <is>
          <t>A 31514-2026</t>
        </is>
      </c>
      <c r="B22" t="inlineStr">
        <is>
          <t>avverkningsanmälan</t>
        </is>
      </c>
      <c r="C22" t="inlineStr">
        <is>
          <t>Avverkning för annat ändamål</t>
        </is>
      </c>
      <c r="D22" s="1" t="n">
        <v>46223</v>
      </c>
      <c r="E22" s="1" t="n">
        <v>46229</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46229</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46229</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24233-2023</t>
        </is>
      </c>
      <c r="B25" t="inlineStr">
        <is>
          <t>avverkningsanmälan</t>
        </is>
      </c>
      <c r="C25" t="inlineStr">
        <is>
          <t>Föryngringsavverkning</t>
        </is>
      </c>
      <c r="D25" s="1" t="n">
        <v>45076</v>
      </c>
      <c r="E25" s="1" t="n">
        <v>46229</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46229</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46229</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46229</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46229</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46229</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c r="A31" t="inlineStr">
        <is>
          <t>A 27561-2025</t>
        </is>
      </c>
      <c r="B31" t="inlineStr">
        <is>
          <t>avverkningsanmälan</t>
        </is>
      </c>
      <c r="C31" t="inlineStr">
        <is>
          <t>Föryngringsavverkning</t>
        </is>
      </c>
      <c r="D31" s="1" t="n">
        <v>45813</v>
      </c>
      <c r="E31" s="1" t="n">
        <v>46229</v>
      </c>
      <c r="F31" t="inlineStr">
        <is>
          <t>STOCKHOLMS LÄN</t>
        </is>
      </c>
      <c r="G31" t="inlineStr">
        <is>
          <t>HUDDINGE</t>
        </is>
      </c>
      <c r="I31" t="n">
        <v>0.7</v>
      </c>
      <c r="J31" t="n">
        <v>0</v>
      </c>
      <c r="K31" t="n">
        <v>0</v>
      </c>
      <c r="L31" t="n">
        <v>0</v>
      </c>
      <c r="M31" t="n">
        <v>0</v>
      </c>
      <c r="N31" t="n">
        <v>0</v>
      </c>
      <c r="O31" t="n">
        <v>0</v>
      </c>
      <c r="P31" t="n">
        <v>0</v>
      </c>
      <c r="Q31" t="n">
        <v>0</v>
      </c>
      <c r="R31" t="n">
        <v>0</v>
      </c>
      <c r="S31" t="n">
        <v>0</v>
      </c>
      <c r="T31" t="n">
        <v>0</v>
      </c>
      <c r="U31" t="n">
        <v>0</v>
      </c>
      <c r="V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2026-07-26T01:53:43Z</dcterms:created>
  <dcterms:modified xmlns:dcterms="http://purl.org/dc/terms/" xmlns:xsi="http://www.w3.org/2001/XMLSchema-instance" xsi:type="dcterms:W3CDTF">2026-07-26T01:53:43Z</dcterms:modified>
</cp:coreProperties>
</file>