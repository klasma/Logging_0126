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46239</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46239</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46239</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46239</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46239</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46239</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46239</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46239</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46239</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46239</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46239</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46239</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46239</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46239</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46239</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46239</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24262-2023</t>
        </is>
      </c>
      <c r="B18" t="inlineStr">
        <is>
          <t>avverkningsanmälan</t>
        </is>
      </c>
      <c r="C18" t="inlineStr">
        <is>
          <t>Föryngringsavverkning</t>
        </is>
      </c>
      <c r="D18" s="1" t="n">
        <v>45076</v>
      </c>
      <c r="E18" s="1" t="n">
        <v>46239</v>
      </c>
      <c r="F18" t="inlineStr">
        <is>
          <t>STOCKHOLMS LÄN</t>
        </is>
      </c>
      <c r="G18" t="inlineStr">
        <is>
          <t>HUDDINGE</t>
        </is>
      </c>
      <c r="I18" t="n">
        <v>2.5</v>
      </c>
      <c r="J18" t="n">
        <v>0</v>
      </c>
      <c r="K18" t="n">
        <v>1</v>
      </c>
      <c r="L18" t="n">
        <v>0</v>
      </c>
      <c r="M18" t="n">
        <v>0</v>
      </c>
      <c r="N18" t="n">
        <v>0</v>
      </c>
      <c r="O18" t="n">
        <v>0</v>
      </c>
      <c r="P18" t="n">
        <v>0</v>
      </c>
      <c r="Q18" t="n">
        <v>0</v>
      </c>
      <c r="R18" t="n">
        <v>0</v>
      </c>
      <c r="S18" t="n">
        <v>1</v>
      </c>
      <c r="T18" t="n">
        <v>1</v>
      </c>
      <c r="U18" t="n">
        <v>1</v>
      </c>
      <c r="V18" s="2" t="inlineStr">
        <is>
          <t>Tibast</t>
        </is>
      </c>
      <c r="W18">
        <f>HYPERLINK("https://klasma.github.io/Logging_0126/artfynd/A 24262-2023 artfynd.xlsx", "A 24262-2023")</f>
        <v/>
      </c>
      <c r="X18">
        <f>HYPERLINK("https://klasma.github.io/Logging_0126/kartor/A 24262-2023 karta.png", "A 24262-2023")</f>
        <v/>
      </c>
      <c r="Y18">
        <f>HYPERLINK("https://klasma.github.io/Logging_0126/kartor_geotiff/A 24262-2023 georefererad karta.tif", "A 24262-2023")</f>
        <v/>
      </c>
      <c r="AA18">
        <f>HYPERLINK("https://klasma.github.io/Logging_0126/klagomål/A 24262-2023 FSC-klagomål.docx", "A 24262-2023")</f>
        <v/>
      </c>
      <c r="AB18">
        <f>HYPERLINK("https://klasma.github.io/Logging_0126/klagomålsmail/A 24262-2023 FSC-klagomål mail.docx", "A 24262-2023")</f>
        <v/>
      </c>
      <c r="AC18">
        <f>HYPERLINK("https://klasma.github.io/Logging_0126/tillsyn/A 24262-2023 tillsynsbegäran.docx", "A 24262-2023")</f>
        <v/>
      </c>
      <c r="AD18">
        <f>HYPERLINK("https://klasma.github.io/Logging_0126/tillsynsmail/A 24262-2023 tillsynsbegäran mail.docx", "A 24262-2023")</f>
        <v/>
      </c>
    </row>
    <row r="19" ht="15" customHeight="1">
      <c r="A19" t="inlineStr">
        <is>
          <t>A 24363-2023</t>
        </is>
      </c>
      <c r="B19" t="inlineStr">
        <is>
          <t>avverkningsanmälan</t>
        </is>
      </c>
      <c r="C19" t="inlineStr">
        <is>
          <t>Föryngringsavverkning</t>
        </is>
      </c>
      <c r="D19" s="1" t="n">
        <v>45076</v>
      </c>
      <c r="E19" s="1" t="n">
        <v>46239</v>
      </c>
      <c r="F19" t="inlineStr">
        <is>
          <t>STOCKHOLMS LÄN</t>
        </is>
      </c>
      <c r="G19" t="inlineStr">
        <is>
          <t>HUDDINGE</t>
        </is>
      </c>
      <c r="I19" t="n">
        <v>2.4</v>
      </c>
      <c r="J19" t="n">
        <v>1</v>
      </c>
      <c r="K19" t="n">
        <v>0</v>
      </c>
      <c r="L19" t="n">
        <v>0</v>
      </c>
      <c r="M19" t="n">
        <v>0</v>
      </c>
      <c r="N19" t="n">
        <v>0</v>
      </c>
      <c r="O19" t="n">
        <v>0</v>
      </c>
      <c r="P19" t="n">
        <v>0</v>
      </c>
      <c r="Q19" t="n">
        <v>0</v>
      </c>
      <c r="R19" t="n">
        <v>0</v>
      </c>
      <c r="S19" t="n">
        <v>1</v>
      </c>
      <c r="T19" t="n">
        <v>1</v>
      </c>
      <c r="U19" t="n">
        <v>1</v>
      </c>
      <c r="V19" s="2" t="inlineStr">
        <is>
          <t>Revlummer</t>
        </is>
      </c>
      <c r="W19">
        <f>HYPERLINK("https://klasma.github.io/Logging_0126/artfynd/A 24363-2023 artfynd.xlsx", "A 24363-2023")</f>
        <v/>
      </c>
      <c r="X19">
        <f>HYPERLINK("https://klasma.github.io/Logging_0126/kartor/A 24363-2023 karta.png", "A 24363-2023")</f>
        <v/>
      </c>
      <c r="Y19">
        <f>HYPERLINK("https://klasma.github.io/Logging_0126/kartor_geotiff/A 24363-2023 georefererad karta.tif", "A 24363-2023")</f>
        <v/>
      </c>
      <c r="AA19">
        <f>HYPERLINK("https://klasma.github.io/Logging_0126/klagomål/A 24363-2023 FSC-klagomål.docx", "A 24363-2023")</f>
        <v/>
      </c>
      <c r="AB19">
        <f>HYPERLINK("https://klasma.github.io/Logging_0126/klagomålsmail/A 24363-2023 FSC-klagomål mail.docx", "A 24363-2023")</f>
        <v/>
      </c>
      <c r="AC19">
        <f>HYPERLINK("https://klasma.github.io/Logging_0126/tillsyn/A 24363-2023 tillsynsbegäran.docx", "A 24363-2023")</f>
        <v/>
      </c>
      <c r="AD19">
        <f>HYPERLINK("https://klasma.github.io/Logging_0126/tillsynsmail/A 24363-2023 tillsynsbegäran mail.docx", "A 24363-2023")</f>
        <v/>
      </c>
    </row>
    <row r="20" ht="15" customHeight="1">
      <c r="A20" t="inlineStr">
        <is>
          <t>A 24257-2023</t>
        </is>
      </c>
      <c r="B20" t="inlineStr">
        <is>
          <t>avverkningsanmälan</t>
        </is>
      </c>
      <c r="C20" t="inlineStr">
        <is>
          <t>Föryngringsavverkning</t>
        </is>
      </c>
      <c r="D20" s="1" t="n">
        <v>45076</v>
      </c>
      <c r="E20" s="1" t="n">
        <v>46239</v>
      </c>
      <c r="F20" t="inlineStr">
        <is>
          <t>STOCKHOLMS LÄN</t>
        </is>
      </c>
      <c r="G20" t="inlineStr">
        <is>
          <t>HUDDINGE</t>
        </is>
      </c>
      <c r="I20" t="n">
        <v>1</v>
      </c>
      <c r="J20" t="n">
        <v>0</v>
      </c>
      <c r="K20" t="n">
        <v>0</v>
      </c>
      <c r="L20" t="n">
        <v>1</v>
      </c>
      <c r="M20" t="n">
        <v>0</v>
      </c>
      <c r="N20" t="n">
        <v>0</v>
      </c>
      <c r="O20" t="n">
        <v>0</v>
      </c>
      <c r="P20" t="n">
        <v>0</v>
      </c>
      <c r="Q20" t="n">
        <v>1</v>
      </c>
      <c r="R20" t="n">
        <v>0</v>
      </c>
      <c r="S20" t="n">
        <v>1</v>
      </c>
      <c r="T20" t="n">
        <v>1</v>
      </c>
      <c r="U20" t="n">
        <v>1</v>
      </c>
      <c r="V20" s="2" t="inlineStr">
        <is>
          <t>Kolflarnlav</t>
        </is>
      </c>
      <c r="W20">
        <f>HYPERLINK("https://klasma.github.io/Logging_0126/artfynd/A 24257-2023 artfynd.xlsx", "A 24257-2023")</f>
        <v/>
      </c>
      <c r="X20">
        <f>HYPERLINK("https://klasma.github.io/Logging_0126/kartor/A 24257-2023 karta.png", "A 24257-2023")</f>
        <v/>
      </c>
      <c r="Y20">
        <f>HYPERLINK("https://klasma.github.io/Logging_0126/kartor_geotiff/A 24257-2023 georefererad karta.tif", "A 24257-2023")</f>
        <v/>
      </c>
      <c r="AA20">
        <f>HYPERLINK("https://klasma.github.io/Logging_0126/klagomål/A 24257-2023 FSC-klagomål.docx", "A 24257-2023")</f>
        <v/>
      </c>
      <c r="AB20">
        <f>HYPERLINK("https://klasma.github.io/Logging_0126/klagomålsmail/A 24257-2023 FSC-klagomål mail.docx", "A 24257-2023")</f>
        <v/>
      </c>
      <c r="AC20">
        <f>HYPERLINK("https://klasma.github.io/Logging_0126/tillsyn/A 24257-2023 tillsynsbegäran.docx", "A 24257-2023")</f>
        <v/>
      </c>
      <c r="AD20">
        <f>HYPERLINK("https://klasma.github.io/Logging_0126/tillsynsmail/A 24257-2023 tillsynsbegäran mail.docx", "A 24257-2023")</f>
        <v/>
      </c>
    </row>
    <row r="21" ht="15" customHeight="1">
      <c r="A21" t="inlineStr">
        <is>
          <t>A 24233-2023</t>
        </is>
      </c>
      <c r="B21" t="inlineStr">
        <is>
          <t>avverkningsanmälan</t>
        </is>
      </c>
      <c r="C21" t="inlineStr">
        <is>
          <t>Föryngringsavverkning</t>
        </is>
      </c>
      <c r="D21" s="1" t="n">
        <v>45076</v>
      </c>
      <c r="E21" s="1" t="n">
        <v>46239</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31514-2026</t>
        </is>
      </c>
      <c r="B22" t="inlineStr">
        <is>
          <t>avverkningsanmälan</t>
        </is>
      </c>
      <c r="C22" t="inlineStr">
        <is>
          <t>Avverkning för annat ändamål</t>
        </is>
      </c>
      <c r="D22" s="1" t="n">
        <v>46223</v>
      </c>
      <c r="E22" s="1" t="n">
        <v>46239</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46239</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46239</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31795-2026</t>
        </is>
      </c>
      <c r="B25" t="inlineStr">
        <is>
          <t>avverkningsanmälan</t>
        </is>
      </c>
      <c r="C25" t="inlineStr">
        <is>
          <t>Avverkning för annat ändamål</t>
        </is>
      </c>
      <c r="D25" s="1" t="n">
        <v>46230</v>
      </c>
      <c r="E25" s="1" t="n">
        <v>46239</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27561-2025</t>
        </is>
      </c>
      <c r="B26" t="inlineStr">
        <is>
          <t>avverkningsanmälan</t>
        </is>
      </c>
      <c r="C26" t="inlineStr">
        <is>
          <t>Föryngringsavverkning</t>
        </is>
      </c>
      <c r="D26" s="1" t="n">
        <v>45813</v>
      </c>
      <c r="E26" s="1" t="n">
        <v>46239</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35404-2022</t>
        </is>
      </c>
      <c r="B27" t="inlineStr">
        <is>
          <t>avverkningsanmälan</t>
        </is>
      </c>
      <c r="C27" t="inlineStr">
        <is>
          <t>Föryngringsavverkning</t>
        </is>
      </c>
      <c r="D27" s="1" t="n">
        <v>44798</v>
      </c>
      <c r="E27" s="1" t="n">
        <v>46239</v>
      </c>
      <c r="F27" t="inlineStr">
        <is>
          <t>STOCKHOLMS LÄN</t>
        </is>
      </c>
      <c r="G27" t="inlineStr">
        <is>
          <t>HUDDINGE</t>
        </is>
      </c>
      <c r="H27" t="inlineStr">
        <is>
          <t>Kommuner</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31650-2026</t>
        </is>
      </c>
      <c r="B28" t="inlineStr">
        <is>
          <t>avverkningsanmälan</t>
        </is>
      </c>
      <c r="C28" t="inlineStr">
        <is>
          <t>Avverkning för annat ändamål</t>
        </is>
      </c>
      <c r="D28" s="1" t="n">
        <v>46225</v>
      </c>
      <c r="E28" s="1" t="n">
        <v>46239</v>
      </c>
      <c r="F28" t="inlineStr">
        <is>
          <t>STOCKHOLMS LÄN</t>
        </is>
      </c>
      <c r="G28" t="inlineStr">
        <is>
          <t>HUDDINGE</t>
        </is>
      </c>
      <c r="H28" t="inlineStr">
        <is>
          <t>Kommuner</t>
        </is>
      </c>
      <c r="I28" t="n">
        <v>2.1</v>
      </c>
      <c r="J28" t="n">
        <v>0</v>
      </c>
      <c r="K28" t="n">
        <v>0</v>
      </c>
      <c r="L28" t="n">
        <v>0</v>
      </c>
      <c r="M28" t="n">
        <v>0</v>
      </c>
      <c r="N28" t="n">
        <v>0</v>
      </c>
      <c r="O28" t="n">
        <v>0</v>
      </c>
      <c r="P28" t="n">
        <v>0</v>
      </c>
      <c r="Q28" t="n">
        <v>0</v>
      </c>
      <c r="R28" t="n">
        <v>0</v>
      </c>
      <c r="S28" t="n">
        <v>0</v>
      </c>
      <c r="T28" t="n">
        <v>0</v>
      </c>
      <c r="U28" t="n">
        <v>0</v>
      </c>
      <c r="V28" s="2" t="inlineStr"/>
    </row>
    <row r="29" ht="15" customHeight="1">
      <c r="A29" t="inlineStr">
        <is>
          <t>A 47173-2022</t>
        </is>
      </c>
      <c r="B29" t="inlineStr">
        <is>
          <t>avverkningsanmälan</t>
        </is>
      </c>
      <c r="C29" t="inlineStr">
        <is>
          <t>Föryngringsavverkning</t>
        </is>
      </c>
      <c r="D29" s="1" t="n">
        <v>44852</v>
      </c>
      <c r="E29" s="1" t="n">
        <v>46239</v>
      </c>
      <c r="F29" t="inlineStr">
        <is>
          <t>STOCKHOLMS LÄN</t>
        </is>
      </c>
      <c r="G29" t="inlineStr">
        <is>
          <t>HUDDINGE</t>
        </is>
      </c>
      <c r="I29" t="n">
        <v>1.9</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46239</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46239</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31246-2022</t>
        </is>
      </c>
      <c r="B32" t="inlineStr">
        <is>
          <t>avverkningsanmälan</t>
        </is>
      </c>
      <c r="C32" t="inlineStr">
        <is>
          <t>Avverkning för annat ändamål</t>
        </is>
      </c>
      <c r="D32" s="1" t="n">
        <v>44771</v>
      </c>
      <c r="E32" s="1" t="n">
        <v>46239</v>
      </c>
      <c r="F32" t="inlineStr">
        <is>
          <t>STOCKHOLMS LÄN</t>
        </is>
      </c>
      <c r="G32" t="inlineStr">
        <is>
          <t>HUDDINGE</t>
        </is>
      </c>
      <c r="I32" t="n">
        <v>4.3</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2026-08-05T20:38:13Z</dcterms:created>
  <dcterms:modified xmlns:dcterms="http://purl.org/dc/terms/" xmlns:xsi="http://www.w3.org/2001/XMLSchema-instance" xsi:type="dcterms:W3CDTF">2026-08-05T20:38:13Z</dcterms:modified>
</cp:coreProperties>
</file>