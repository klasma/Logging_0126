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46183</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46183</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46183</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46183</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17467-2024</t>
        </is>
      </c>
      <c r="B6" s="1" t="n">
        <v>45415.44597222222</v>
      </c>
      <c r="C6" s="1" t="n">
        <v>46183</v>
      </c>
      <c r="D6" t="inlineStr">
        <is>
          <t>STOCKHOLMS LÄN</t>
        </is>
      </c>
      <c r="E6" t="inlineStr">
        <is>
          <t>HUDDINGE</t>
        </is>
      </c>
      <c r="G6" t="n">
        <v>14</v>
      </c>
      <c r="H6" t="n">
        <v>1</v>
      </c>
      <c r="I6" t="n">
        <v>0</v>
      </c>
      <c r="J6" t="n">
        <v>1</v>
      </c>
      <c r="K6" t="n">
        <v>1</v>
      </c>
      <c r="L6" t="n">
        <v>0</v>
      </c>
      <c r="M6" t="n">
        <v>0</v>
      </c>
      <c r="N6" t="n">
        <v>0</v>
      </c>
      <c r="O6" t="n">
        <v>2</v>
      </c>
      <c r="P6" t="n">
        <v>1</v>
      </c>
      <c r="Q6" t="n">
        <v>2</v>
      </c>
      <c r="R6" s="2" t="inlineStr">
        <is>
          <t>Knärot
Motaggsvamp</t>
        </is>
      </c>
      <c r="S6">
        <f>HYPERLINK("https://klasma.github.io/Logging_0126/artfynd/A 17467-2024 artfynd.xlsx", "A 17467-2024")</f>
        <v/>
      </c>
      <c r="T6">
        <f>HYPERLINK("https://klasma.github.io/Logging_0126/kartor/A 17467-2024 karta.png", "A 17467-2024")</f>
        <v/>
      </c>
      <c r="U6">
        <f>HYPERLINK("https://klasma.github.io/Logging_0126/knärot/A 17467-2024 karta knärot.png", "A 17467-2024")</f>
        <v/>
      </c>
      <c r="V6">
        <f>HYPERLINK("https://klasma.github.io/Logging_0126/klagomål/A 17467-2024 FSC-klagomål.docx", "A 17467-2024")</f>
        <v/>
      </c>
      <c r="W6">
        <f>HYPERLINK("https://klasma.github.io/Logging_0126/klagomålsmail/A 17467-2024 FSC-klagomål mail.docx", "A 17467-2024")</f>
        <v/>
      </c>
      <c r="X6">
        <f>HYPERLINK("https://klasma.github.io/Logging_0126/tillsyn/A 17467-2024 tillsynsbegäran.docx", "A 17467-2024")</f>
        <v/>
      </c>
      <c r="Y6">
        <f>HYPERLINK("https://klasma.github.io/Logging_0126/tillsynsmail/A 17467-2024 tillsynsbegäran mail.docx", "A 17467-2024")</f>
        <v/>
      </c>
    </row>
    <row r="7" ht="15" customHeight="1">
      <c r="A7" t="inlineStr">
        <is>
          <t>A 49419-2023</t>
        </is>
      </c>
      <c r="B7" s="1" t="n">
        <v>45211</v>
      </c>
      <c r="C7" s="1" t="n">
        <v>46183</v>
      </c>
      <c r="D7" t="inlineStr">
        <is>
          <t>STOCKHOLMS LÄN</t>
        </is>
      </c>
      <c r="E7" t="inlineStr">
        <is>
          <t>HUDDINGE</t>
        </is>
      </c>
      <c r="F7" t="inlineStr">
        <is>
          <t>Kommuner</t>
        </is>
      </c>
      <c r="G7" t="n">
        <v>1.9</v>
      </c>
      <c r="H7" t="n">
        <v>2</v>
      </c>
      <c r="I7" t="n">
        <v>0</v>
      </c>
      <c r="J7" t="n">
        <v>1</v>
      </c>
      <c r="K7" t="n">
        <v>0</v>
      </c>
      <c r="L7" t="n">
        <v>1</v>
      </c>
      <c r="M7" t="n">
        <v>0</v>
      </c>
      <c r="N7" t="n">
        <v>0</v>
      </c>
      <c r="O7" t="n">
        <v>2</v>
      </c>
      <c r="P7" t="n">
        <v>1</v>
      </c>
      <c r="Q7" t="n">
        <v>2</v>
      </c>
      <c r="R7" s="2" t="inlineStr">
        <is>
          <t>Grönfink
Ärtsångare</t>
        </is>
      </c>
      <c r="S7">
        <f>HYPERLINK("https://klasma.github.io/Logging_0126/artfynd/A 49419-2023 artfynd.xlsx", "A 49419-2023")</f>
        <v/>
      </c>
      <c r="T7">
        <f>HYPERLINK("https://klasma.github.io/Logging_0126/kartor/A 49419-2023 karta.png", "A 49419-2023")</f>
        <v/>
      </c>
      <c r="V7">
        <f>HYPERLINK("https://klasma.github.io/Logging_0126/klagomål/A 49419-2023 FSC-klagomål.docx", "A 49419-2023")</f>
        <v/>
      </c>
      <c r="W7">
        <f>HYPERLINK("https://klasma.github.io/Logging_0126/klagomålsmail/A 49419-2023 FSC-klagomål mail.docx", "A 49419-2023")</f>
        <v/>
      </c>
      <c r="X7">
        <f>HYPERLINK("https://klasma.github.io/Logging_0126/tillsyn/A 49419-2023 tillsynsbegäran.docx", "A 49419-2023")</f>
        <v/>
      </c>
      <c r="Y7">
        <f>HYPERLINK("https://klasma.github.io/Logging_0126/tillsynsmail/A 49419-2023 tillsynsbegäran mail.docx", "A 49419-2023")</f>
        <v/>
      </c>
      <c r="Z7">
        <f>HYPERLINK("https://klasma.github.io/Logging_0126/fåglar/A 49419-2023 prioriterade fågelarter.docx", "A 49419-2023")</f>
        <v/>
      </c>
    </row>
    <row r="8" ht="15" customHeight="1">
      <c r="A8" t="inlineStr">
        <is>
          <t>A 49421-2023</t>
        </is>
      </c>
      <c r="B8" s="1" t="n">
        <v>45211</v>
      </c>
      <c r="C8" s="1" t="n">
        <v>46183</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24233-2023</t>
        </is>
      </c>
      <c r="B9" s="1" t="n">
        <v>45076</v>
      </c>
      <c r="C9" s="1" t="n">
        <v>46183</v>
      </c>
      <c r="D9" t="inlineStr">
        <is>
          <t>STOCKHOLMS LÄN</t>
        </is>
      </c>
      <c r="E9" t="inlineStr">
        <is>
          <t>HUDDINGE</t>
        </is>
      </c>
      <c r="G9" t="n">
        <v>3.7</v>
      </c>
      <c r="H9" t="n">
        <v>0</v>
      </c>
      <c r="I9" t="n">
        <v>0</v>
      </c>
      <c r="J9" t="n">
        <v>1</v>
      </c>
      <c r="K9" t="n">
        <v>0</v>
      </c>
      <c r="L9" t="n">
        <v>0</v>
      </c>
      <c r="M9" t="n">
        <v>0</v>
      </c>
      <c r="N9" t="n">
        <v>0</v>
      </c>
      <c r="O9" t="n">
        <v>1</v>
      </c>
      <c r="P9" t="n">
        <v>0</v>
      </c>
      <c r="Q9" t="n">
        <v>1</v>
      </c>
      <c r="R9" s="2" t="inlineStr">
        <is>
          <t>Svartvit taggsvamp</t>
        </is>
      </c>
      <c r="S9">
        <f>HYPERLINK("https://klasma.github.io/Logging_0126/artfynd/A 24233-2023 artfynd.xlsx", "A 24233-2023")</f>
        <v/>
      </c>
      <c r="T9">
        <f>HYPERLINK("https://klasma.github.io/Logging_0126/kartor/A 24233-2023 karta.png", "A 24233-2023")</f>
        <v/>
      </c>
      <c r="V9">
        <f>HYPERLINK("https://klasma.github.io/Logging_0126/klagomål/A 24233-2023 FSC-klagomål.docx", "A 24233-2023")</f>
        <v/>
      </c>
      <c r="W9">
        <f>HYPERLINK("https://klasma.github.io/Logging_0126/klagomålsmail/A 24233-2023 FSC-klagomål mail.docx", "A 24233-2023")</f>
        <v/>
      </c>
      <c r="X9">
        <f>HYPERLINK("https://klasma.github.io/Logging_0126/tillsyn/A 24233-2023 tillsynsbegäran.docx", "A 24233-2023")</f>
        <v/>
      </c>
      <c r="Y9">
        <f>HYPERLINK("https://klasma.github.io/Logging_0126/tillsynsmail/A 24233-2023 tillsynsbegäran mail.docx", "A 24233-2023")</f>
        <v/>
      </c>
    </row>
    <row r="10" ht="15" customHeight="1">
      <c r="A10" t="inlineStr">
        <is>
          <t>A 24384-2023</t>
        </is>
      </c>
      <c r="B10" s="1" t="n">
        <v>45076</v>
      </c>
      <c r="C10" s="1" t="n">
        <v>46183</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46183</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46183</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491-2026</t>
        </is>
      </c>
      <c r="B13" s="1" t="n">
        <v>46029.42581018519</v>
      </c>
      <c r="C13" s="1" t="n">
        <v>46183</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32508-2022</t>
        </is>
      </c>
      <c r="B14" s="1" t="n">
        <v>44782</v>
      </c>
      <c r="C14" s="1" t="n">
        <v>46183</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27561-2025</t>
        </is>
      </c>
      <c r="B15" s="1" t="n">
        <v>45813.48378472222</v>
      </c>
      <c r="C15" s="1" t="n">
        <v>46183</v>
      </c>
      <c r="D15" t="inlineStr">
        <is>
          <t>STOCKHOLMS LÄN</t>
        </is>
      </c>
      <c r="E15" t="inlineStr">
        <is>
          <t>HUDDINGE</t>
        </is>
      </c>
      <c r="G15" t="n">
        <v>0.7</v>
      </c>
      <c r="H15" t="n">
        <v>0</v>
      </c>
      <c r="I15" t="n">
        <v>0</v>
      </c>
      <c r="J15" t="n">
        <v>0</v>
      </c>
      <c r="K15" t="n">
        <v>0</v>
      </c>
      <c r="L15" t="n">
        <v>0</v>
      </c>
      <c r="M15" t="n">
        <v>0</v>
      </c>
      <c r="N15" t="n">
        <v>0</v>
      </c>
      <c r="O15" t="n">
        <v>0</v>
      </c>
      <c r="P15" t="n">
        <v>0</v>
      </c>
      <c r="Q15" t="n">
        <v>0</v>
      </c>
      <c r="R15" s="2" t="inlineStr"/>
    </row>
    <row r="16" ht="15" customHeight="1">
      <c r="A16" t="inlineStr">
        <is>
          <t>A 31246-2022</t>
        </is>
      </c>
      <c r="B16" s="1" t="n">
        <v>44771</v>
      </c>
      <c r="C16" s="1" t="n">
        <v>46183</v>
      </c>
      <c r="D16" t="inlineStr">
        <is>
          <t>STOCKHOLMS LÄN</t>
        </is>
      </c>
      <c r="E16" t="inlineStr">
        <is>
          <t>HUDDINGE</t>
        </is>
      </c>
      <c r="G16" t="n">
        <v>4.3</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46183</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46183</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46183</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35404-2022</t>
        </is>
      </c>
      <c r="B20" s="1" t="n">
        <v>44798</v>
      </c>
      <c r="C20" s="1" t="n">
        <v>46183</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46183</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25210-2026</t>
        </is>
      </c>
      <c r="B22" s="1" t="n">
        <v>46175.61104166666</v>
      </c>
      <c r="C22" s="1" t="n">
        <v>46183</v>
      </c>
      <c r="D22" t="inlineStr">
        <is>
          <t>STOCKHOLMS LÄN</t>
        </is>
      </c>
      <c r="E22" t="inlineStr">
        <is>
          <t>HUDDINGE</t>
        </is>
      </c>
      <c r="G22" t="n">
        <v>0.6</v>
      </c>
      <c r="H22" t="n">
        <v>0</v>
      </c>
      <c r="I22" t="n">
        <v>0</v>
      </c>
      <c r="J22" t="n">
        <v>0</v>
      </c>
      <c r="K22" t="n">
        <v>0</v>
      </c>
      <c r="L22" t="n">
        <v>0</v>
      </c>
      <c r="M22" t="n">
        <v>0</v>
      </c>
      <c r="N22" t="n">
        <v>0</v>
      </c>
      <c r="O22" t="n">
        <v>0</v>
      </c>
      <c r="P22" t="n">
        <v>0</v>
      </c>
      <c r="Q22" t="n">
        <v>0</v>
      </c>
      <c r="R22" s="2" t="inlineStr"/>
    </row>
    <row r="23">
      <c r="A23" t="inlineStr">
        <is>
          <t>A 25208-2026</t>
        </is>
      </c>
      <c r="B23" s="1" t="n">
        <v>46175.6061574074</v>
      </c>
      <c r="C23" s="1" t="n">
        <v>46183</v>
      </c>
      <c r="D23" t="inlineStr">
        <is>
          <t>STOCKHOLMS LÄN</t>
        </is>
      </c>
      <c r="E23" t="inlineStr">
        <is>
          <t>HUDDINGE</t>
        </is>
      </c>
      <c r="G23" t="n">
        <v>1.1</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2026-06-10T09:25:28Z</dcterms:created>
  <dcterms:modified xmlns:dcterms="http://purl.org/dc/terms/" xmlns:xsi="http://www.w3.org/2001/XMLSchema-instance" xsi:type="dcterms:W3CDTF">2026-06-10T09:25:28Z</dcterms:modified>
</cp:coreProperties>
</file>