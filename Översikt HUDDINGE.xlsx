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45969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45969</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45969</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45969</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45969</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45969</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45969</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45969</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45969</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24262-2023</t>
        </is>
      </c>
      <c r="B11" s="1" t="n">
        <v>45076</v>
      </c>
      <c r="C11" s="1" t="n">
        <v>45969</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45969</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45969</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24384-2023</t>
        </is>
      </c>
      <c r="B14" s="1" t="n">
        <v>45076</v>
      </c>
      <c r="C14" s="1" t="n">
        <v>45969</v>
      </c>
      <c r="D14" t="inlineStr">
        <is>
          <t>STOCKHOLMS LÄN</t>
        </is>
      </c>
      <c r="E14" t="inlineStr">
        <is>
          <t>HUDDINGE</t>
        </is>
      </c>
      <c r="G14" t="n">
        <v>1</v>
      </c>
      <c r="H14" t="n">
        <v>0</v>
      </c>
      <c r="I14" t="n">
        <v>0</v>
      </c>
      <c r="J14" t="n">
        <v>1</v>
      </c>
      <c r="K14" t="n">
        <v>0</v>
      </c>
      <c r="L14" t="n">
        <v>0</v>
      </c>
      <c r="M14" t="n">
        <v>0</v>
      </c>
      <c r="N14" t="n">
        <v>0</v>
      </c>
      <c r="O14" t="n">
        <v>1</v>
      </c>
      <c r="P14" t="n">
        <v>0</v>
      </c>
      <c r="Q14" t="n">
        <v>1</v>
      </c>
      <c r="R14" s="2" t="inlineStr">
        <is>
          <t>Kolflarnlav</t>
        </is>
      </c>
      <c r="S14">
        <f>HYPERLINK("https://klasma.github.io/Logging_0126/artfynd/A 24384-2023 artfynd.xlsx", "A 24384-2023")</f>
        <v/>
      </c>
      <c r="T14">
        <f>HYPERLINK("https://klasma.github.io/Logging_0126/kartor/A 24384-2023 karta.png", "A 24384-2023")</f>
        <v/>
      </c>
      <c r="V14">
        <f>HYPERLINK("https://klasma.github.io/Logging_0126/klagomål/A 24384-2023 FSC-klagomål.docx", "A 24384-2023")</f>
        <v/>
      </c>
      <c r="W14">
        <f>HYPERLINK("https://klasma.github.io/Logging_0126/klagomålsmail/A 24384-2023 FSC-klagomål mail.docx", "A 24384-2023")</f>
        <v/>
      </c>
      <c r="X14">
        <f>HYPERLINK("https://klasma.github.io/Logging_0126/tillsyn/A 24384-2023 tillsynsbegäran.docx", "A 24384-2023")</f>
        <v/>
      </c>
      <c r="Y14">
        <f>HYPERLINK("https://klasma.github.io/Logging_0126/tillsynsmail/A 24384-2023 tillsynsbegäran mail.docx", "A 24384-2023")</f>
        <v/>
      </c>
    </row>
    <row r="15" ht="15" customHeight="1">
      <c r="A15" t="inlineStr">
        <is>
          <t>A 32508-2022</t>
        </is>
      </c>
      <c r="B15" s="1" t="n">
        <v>44782</v>
      </c>
      <c r="C15" s="1" t="n">
        <v>45969</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58260-2020</t>
        </is>
      </c>
      <c r="B16" s="1" t="n">
        <v>44144</v>
      </c>
      <c r="C16" s="1" t="n">
        <v>45969</v>
      </c>
      <c r="D16" t="inlineStr">
        <is>
          <t>STOCKHOLMS LÄN</t>
        </is>
      </c>
      <c r="E16" t="inlineStr">
        <is>
          <t>HUDDINGE</t>
        </is>
      </c>
      <c r="F16" t="inlineStr">
        <is>
          <t>Kommuner</t>
        </is>
      </c>
      <c r="G16" t="n">
        <v>1.5</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45969</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24363-2023</t>
        </is>
      </c>
      <c r="B18" s="1" t="n">
        <v>45076</v>
      </c>
      <c r="C18" s="1" t="n">
        <v>45969</v>
      </c>
      <c r="D18" t="inlineStr">
        <is>
          <t>STOCKHOLMS LÄN</t>
        </is>
      </c>
      <c r="E18" t="inlineStr">
        <is>
          <t>HUDDINGE</t>
        </is>
      </c>
      <c r="G18" t="n">
        <v>2.4</v>
      </c>
      <c r="H18" t="n">
        <v>0</v>
      </c>
      <c r="I18" t="n">
        <v>0</v>
      </c>
      <c r="J18" t="n">
        <v>0</v>
      </c>
      <c r="K18" t="n">
        <v>0</v>
      </c>
      <c r="L18" t="n">
        <v>0</v>
      </c>
      <c r="M18" t="n">
        <v>0</v>
      </c>
      <c r="N18" t="n">
        <v>0</v>
      </c>
      <c r="O18" t="n">
        <v>0</v>
      </c>
      <c r="P18" t="n">
        <v>0</v>
      </c>
      <c r="Q18" t="n">
        <v>0</v>
      </c>
      <c r="R18" s="2" t="inlineStr"/>
    </row>
    <row r="19" ht="15" customHeight="1">
      <c r="A19" t="inlineStr">
        <is>
          <t>A 24254-2023</t>
        </is>
      </c>
      <c r="B19" s="1" t="n">
        <v>45076</v>
      </c>
      <c r="C19" s="1" t="n">
        <v>45969</v>
      </c>
      <c r="D19" t="inlineStr">
        <is>
          <t>STOCKHOLMS LÄN</t>
        </is>
      </c>
      <c r="E19" t="inlineStr">
        <is>
          <t>HUDDINGE</t>
        </is>
      </c>
      <c r="G19" t="n">
        <v>1.2</v>
      </c>
      <c r="H19" t="n">
        <v>0</v>
      </c>
      <c r="I19" t="n">
        <v>0</v>
      </c>
      <c r="J19" t="n">
        <v>0</v>
      </c>
      <c r="K19" t="n">
        <v>0</v>
      </c>
      <c r="L19" t="n">
        <v>0</v>
      </c>
      <c r="M19" t="n">
        <v>0</v>
      </c>
      <c r="N19" t="n">
        <v>0</v>
      </c>
      <c r="O19" t="n">
        <v>0</v>
      </c>
      <c r="P19" t="n">
        <v>0</v>
      </c>
      <c r="Q19" t="n">
        <v>0</v>
      </c>
      <c r="R19" s="2" t="inlineStr"/>
    </row>
    <row r="20" ht="15" customHeight="1">
      <c r="A20" t="inlineStr">
        <is>
          <t>A 24257-2023</t>
        </is>
      </c>
      <c r="B20" s="1" t="n">
        <v>45076</v>
      </c>
      <c r="C20" s="1" t="n">
        <v>45969</v>
      </c>
      <c r="D20" t="inlineStr">
        <is>
          <t>STOCKHOLMS LÄN</t>
        </is>
      </c>
      <c r="E20" t="inlineStr">
        <is>
          <t>HUDDINGE</t>
        </is>
      </c>
      <c r="G20" t="n">
        <v>1</v>
      </c>
      <c r="H20" t="n">
        <v>0</v>
      </c>
      <c r="I20" t="n">
        <v>0</v>
      </c>
      <c r="J20" t="n">
        <v>0</v>
      </c>
      <c r="K20" t="n">
        <v>0</v>
      </c>
      <c r="L20" t="n">
        <v>0</v>
      </c>
      <c r="M20" t="n">
        <v>0</v>
      </c>
      <c r="N20" t="n">
        <v>0</v>
      </c>
      <c r="O20" t="n">
        <v>0</v>
      </c>
      <c r="P20" t="n">
        <v>0</v>
      </c>
      <c r="Q20" t="n">
        <v>0</v>
      </c>
      <c r="R20" s="2" t="inlineStr"/>
    </row>
    <row r="21" ht="15" customHeight="1">
      <c r="A21" t="inlineStr">
        <is>
          <t>A 27589-2025</t>
        </is>
      </c>
      <c r="B21" s="1" t="n">
        <v>45813.51070601852</v>
      </c>
      <c r="C21" s="1" t="n">
        <v>45969</v>
      </c>
      <c r="D21" t="inlineStr">
        <is>
          <t>STOCKHOLMS LÄN</t>
        </is>
      </c>
      <c r="E21" t="inlineStr">
        <is>
          <t>HUDDINGE</t>
        </is>
      </c>
      <c r="G21" t="n">
        <v>2.7</v>
      </c>
      <c r="H21" t="n">
        <v>0</v>
      </c>
      <c r="I21" t="n">
        <v>0</v>
      </c>
      <c r="J21" t="n">
        <v>0</v>
      </c>
      <c r="K21" t="n">
        <v>0</v>
      </c>
      <c r="L21" t="n">
        <v>0</v>
      </c>
      <c r="M21" t="n">
        <v>0</v>
      </c>
      <c r="N21" t="n">
        <v>0</v>
      </c>
      <c r="O21" t="n">
        <v>0</v>
      </c>
      <c r="P21" t="n">
        <v>0</v>
      </c>
      <c r="Q21" t="n">
        <v>0</v>
      </c>
      <c r="R21" s="2" t="inlineStr"/>
    </row>
    <row r="22" ht="15" customHeight="1">
      <c r="A22" t="inlineStr">
        <is>
          <t>A 27561-2025</t>
        </is>
      </c>
      <c r="B22" s="1" t="n">
        <v>45813.48378472222</v>
      </c>
      <c r="C22" s="1" t="n">
        <v>45969</v>
      </c>
      <c r="D22" t="inlineStr">
        <is>
          <t>STOCKHOLMS LÄN</t>
        </is>
      </c>
      <c r="E22" t="inlineStr">
        <is>
          <t>HUDDINGE</t>
        </is>
      </c>
      <c r="G22" t="n">
        <v>0.7</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45969</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45969</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2025-11-08T10:11:19Z</dcterms:created>
  <dcterms:modified xmlns:dcterms="http://purl.org/dc/terms/" xmlns:xsi="http://www.w3.org/2001/XMLSchema-instance" xsi:type="dcterms:W3CDTF">2025-11-08T10:11:19Z</dcterms:modified>
</cp:coreProperties>
</file>