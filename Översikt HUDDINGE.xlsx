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46271</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46271</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46271</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46271</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46271</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46271</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46271</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46271</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46271</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46271</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46271</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46271</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46271</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46271</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46271</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46271</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46271</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46271</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46271</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31795-2026</t>
        </is>
      </c>
      <c r="B21" t="inlineStr">
        <is>
          <t>avverkningsanmälan</t>
        </is>
      </c>
      <c r="C21" t="inlineStr">
        <is>
          <t>Avverkning för annat ändamål</t>
        </is>
      </c>
      <c r="D21" s="1" t="n">
        <v>46230</v>
      </c>
      <c r="E21" s="1" t="n">
        <v>46271</v>
      </c>
      <c r="F21" t="inlineStr">
        <is>
          <t>STOCKHOLMS LÄN</t>
        </is>
      </c>
      <c r="G21" t="inlineStr">
        <is>
          <t>HUDDINGE</t>
        </is>
      </c>
      <c r="H21" t="inlineStr">
        <is>
          <t>Kommuner</t>
        </is>
      </c>
      <c r="I21" t="n">
        <v>2.1</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HYPERLINK("https://klasma.github.io/Logging_0126/artfynd/A 31795-2026 artfynd.xlsx", "A 31795-2026")</f>
        <v/>
      </c>
      <c r="X21">
        <f>HYPERLINK("https://klasma.github.io/Logging_0126/kartor/A 31795-2026 karta.png", "A 31795-2026")</f>
        <v/>
      </c>
      <c r="Y21">
        <f>HYPERLINK("https://klasma.github.io/Logging_0126/kartor_geotiff/A 31795-2026 georefererad karta.tif", "A 31795-2026")</f>
        <v/>
      </c>
      <c r="AA21">
        <f>HYPERLINK("https://klasma.github.io/Logging_0126/klagomål/A 31795-2026 FSC-klagomål.docx", "A 31795-2026")</f>
        <v/>
      </c>
      <c r="AB21">
        <f>HYPERLINK("https://klasma.github.io/Logging_0126/klagomålsmail/A 31795-2026 FSC-klagomål mail.docx", "A 31795-2026")</f>
        <v/>
      </c>
      <c r="AC21">
        <f>HYPERLINK("https://klasma.github.io/Logging_0126/tillsyn/A 31795-2026 tillsynsbegäran.docx", "A 31795-2026")</f>
        <v/>
      </c>
      <c r="AD21">
        <f>HYPERLINK("https://klasma.github.io/Logging_0126/tillsynsmail/A 31795-2026 tillsynsbegäran mail.docx", "A 31795-2026")</f>
        <v/>
      </c>
    </row>
    <row r="22" ht="15" customHeight="1">
      <c r="A22" t="inlineStr">
        <is>
          <t>A 24233-2023</t>
        </is>
      </c>
      <c r="B22" t="inlineStr">
        <is>
          <t>avverkningsanmälan</t>
        </is>
      </c>
      <c r="C22" t="inlineStr">
        <is>
          <t>Föryngringsavverkning</t>
        </is>
      </c>
      <c r="D22" s="1" t="n">
        <v>45076</v>
      </c>
      <c r="E22" s="1" t="n">
        <v>46271</v>
      </c>
      <c r="F22" t="inlineStr">
        <is>
          <t>STOCKHOLMS LÄN</t>
        </is>
      </c>
      <c r="G22" t="inlineStr">
        <is>
          <t>HUDDINGE</t>
        </is>
      </c>
      <c r="I22" t="n">
        <v>3.7</v>
      </c>
      <c r="J22" t="n">
        <v>0</v>
      </c>
      <c r="K22" t="n">
        <v>0</v>
      </c>
      <c r="L22" t="n">
        <v>1</v>
      </c>
      <c r="M22" t="n">
        <v>0</v>
      </c>
      <c r="N22" t="n">
        <v>0</v>
      </c>
      <c r="O22" t="n">
        <v>0</v>
      </c>
      <c r="P22" t="n">
        <v>0</v>
      </c>
      <c r="Q22" t="n">
        <v>1</v>
      </c>
      <c r="R22" t="n">
        <v>0</v>
      </c>
      <c r="S22" t="n">
        <v>1</v>
      </c>
      <c r="T22" t="n">
        <v>1</v>
      </c>
      <c r="U22" t="n">
        <v>1</v>
      </c>
      <c r="V22" s="2" t="inlineStr">
        <is>
          <t>Svartvit taggsvamp</t>
        </is>
      </c>
      <c r="W22">
        <f>HYPERLINK("https://klasma.github.io/Logging_0126/artfynd/A 24233-2023 artfynd.xlsx", "A 24233-2023")</f>
        <v/>
      </c>
      <c r="X22">
        <f>HYPERLINK("https://klasma.github.io/Logging_0126/kartor/A 24233-2023 karta.png", "A 24233-2023")</f>
        <v/>
      </c>
      <c r="Y22">
        <f>HYPERLINK("https://klasma.github.io/Logging_0126/kartor_geotiff/A 24233-2023 georefererad karta.tif", "A 24233-2023")</f>
        <v/>
      </c>
      <c r="AA22">
        <f>HYPERLINK("https://klasma.github.io/Logging_0126/klagomål/A 24233-2023 FSC-klagomål.docx", "A 24233-2023")</f>
        <v/>
      </c>
      <c r="AB22">
        <f>HYPERLINK("https://klasma.github.io/Logging_0126/klagomålsmail/A 24233-2023 FSC-klagomål mail.docx", "A 24233-2023")</f>
        <v/>
      </c>
      <c r="AC22">
        <f>HYPERLINK("https://klasma.github.io/Logging_0126/tillsyn/A 24233-2023 tillsynsbegäran.docx", "A 24233-2023")</f>
        <v/>
      </c>
      <c r="AD22">
        <f>HYPERLINK("https://klasma.github.io/Logging_0126/tillsynsmail/A 24233-2023 tillsynsbegäran mail.docx", "A 24233-2023")</f>
        <v/>
      </c>
    </row>
    <row r="23" ht="15" customHeight="1">
      <c r="A23" t="inlineStr">
        <is>
          <t>A 31633-2026</t>
        </is>
      </c>
      <c r="B23" t="inlineStr">
        <is>
          <t>avverkningsanmälan</t>
        </is>
      </c>
      <c r="C23" t="inlineStr">
        <is>
          <t>Avverkning för annat ändamål</t>
        </is>
      </c>
      <c r="D23" s="1" t="n">
        <v>46223</v>
      </c>
      <c r="E23" s="1" t="n">
        <v>46271</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31514-2026</t>
        </is>
      </c>
      <c r="B24" t="inlineStr">
        <is>
          <t>avverkningsanmälan</t>
        </is>
      </c>
      <c r="C24" t="inlineStr">
        <is>
          <t>Avverkning för annat ändamål</t>
        </is>
      </c>
      <c r="D24" s="1" t="n">
        <v>46223</v>
      </c>
      <c r="E24" s="1" t="n">
        <v>46271</v>
      </c>
      <c r="F24" t="inlineStr">
        <is>
          <t>STOCKHOLMS LÄN</t>
        </is>
      </c>
      <c r="G24" t="inlineStr">
        <is>
          <t>HUDDINGE</t>
        </is>
      </c>
      <c r="H24" t="inlineStr">
        <is>
          <t>Kommuner</t>
        </is>
      </c>
      <c r="I24" t="n">
        <v>1</v>
      </c>
      <c r="J24" t="n">
        <v>0</v>
      </c>
      <c r="K24" t="n">
        <v>1</v>
      </c>
      <c r="L24" t="n">
        <v>0</v>
      </c>
      <c r="M24" t="n">
        <v>0</v>
      </c>
      <c r="N24" t="n">
        <v>0</v>
      </c>
      <c r="O24" t="n">
        <v>0</v>
      </c>
      <c r="P24" t="n">
        <v>0</v>
      </c>
      <c r="Q24" t="n">
        <v>0</v>
      </c>
      <c r="R24" t="n">
        <v>0</v>
      </c>
      <c r="S24" t="n">
        <v>1</v>
      </c>
      <c r="T24" t="n">
        <v>2</v>
      </c>
      <c r="U24" t="n">
        <v>0</v>
      </c>
      <c r="V24" s="2" t="inlineStr">
        <is>
          <t>Tibast</t>
        </is>
      </c>
      <c r="W24">
        <f>HYPERLINK("https://klasma.github.io/Logging_0126/artfynd/A 31514-2026 artfynd.xlsx", "A 31514-2026")</f>
        <v/>
      </c>
      <c r="X24">
        <f>HYPERLINK("https://klasma.github.io/Logging_0126/kartor/A 31514-2026 karta.png", "A 31514-2026")</f>
        <v/>
      </c>
      <c r="Y24">
        <f>HYPERLINK("https://klasma.github.io/Logging_0126/kartor_geotiff/A 31514-2026 georefererad karta.tif", "A 31514-2026")</f>
        <v/>
      </c>
      <c r="AA24">
        <f>HYPERLINK("https://klasma.github.io/Logging_0126/klagomål/A 31514-2026 FSC-klagomål.docx", "A 31514-2026")</f>
        <v/>
      </c>
      <c r="AB24">
        <f>HYPERLINK("https://klasma.github.io/Logging_0126/klagomålsmail/A 31514-2026 FSC-klagomål mail.docx", "A 31514-2026")</f>
        <v/>
      </c>
      <c r="AC24">
        <f>HYPERLINK("https://klasma.github.io/Logging_0126/tillsyn/A 31514-2026 tillsynsbegäran.docx", "A 31514-2026")</f>
        <v/>
      </c>
      <c r="AD24">
        <f>HYPERLINK("https://klasma.github.io/Logging_0126/tillsynsmail/A 31514-2026 tillsynsbegäran mail.docx", "A 31514-2026")</f>
        <v/>
      </c>
    </row>
    <row r="25" ht="15" customHeight="1">
      <c r="A25" t="inlineStr">
        <is>
          <t>A 31568-2026</t>
        </is>
      </c>
      <c r="B25" t="inlineStr">
        <is>
          <t>avverkningsanmälan</t>
        </is>
      </c>
      <c r="C25" t="inlineStr">
        <is>
          <t>Avverkning för annat ändamål</t>
        </is>
      </c>
      <c r="D25" s="1" t="n">
        <v>46223</v>
      </c>
      <c r="E25" s="1" t="n">
        <v>46271</v>
      </c>
      <c r="F25" t="inlineStr">
        <is>
          <t>STOCKHOLMS LÄN</t>
        </is>
      </c>
      <c r="G25" t="inlineStr">
        <is>
          <t>HUDDINGE</t>
        </is>
      </c>
      <c r="H25" t="inlineStr">
        <is>
          <t>Kommuner</t>
        </is>
      </c>
      <c r="I25" t="n">
        <v>0.2</v>
      </c>
      <c r="J25" t="n">
        <v>1</v>
      </c>
      <c r="K25" t="n">
        <v>0</v>
      </c>
      <c r="L25" t="n">
        <v>0</v>
      </c>
      <c r="M25" t="n">
        <v>0</v>
      </c>
      <c r="N25" t="n">
        <v>0</v>
      </c>
      <c r="O25" t="n">
        <v>0</v>
      </c>
      <c r="P25" t="n">
        <v>0</v>
      </c>
      <c r="Q25" t="n">
        <v>0</v>
      </c>
      <c r="R25" t="n">
        <v>0</v>
      </c>
      <c r="S25" t="n">
        <v>1</v>
      </c>
      <c r="T25" t="n">
        <v>1</v>
      </c>
      <c r="U25" t="n">
        <v>0</v>
      </c>
      <c r="V25" s="2" t="inlineStr">
        <is>
          <t>Skogsödla</t>
        </is>
      </c>
      <c r="W25">
        <f>HYPERLINK("https://klasma.github.io/Logging_0126/artfynd/A 31568-2026 artfynd.xlsx", "A 31568-2026")</f>
        <v/>
      </c>
      <c r="X25">
        <f>HYPERLINK("https://klasma.github.io/Logging_0126/kartor/A 31568-2026 karta.png", "A 31568-2026")</f>
        <v/>
      </c>
      <c r="Y25">
        <f>HYPERLINK("https://klasma.github.io/Logging_0126/kartor_geotiff/A 31568-2026 georefererad karta.tif", "A 31568-2026")</f>
        <v/>
      </c>
      <c r="AA25">
        <f>HYPERLINK("https://klasma.github.io/Logging_0126/klagomål/A 31568-2026 FSC-klagomål.docx", "A 31568-2026")</f>
        <v/>
      </c>
      <c r="AB25">
        <f>HYPERLINK("https://klasma.github.io/Logging_0126/klagomålsmail/A 31568-2026 FSC-klagomål mail.docx", "A 31568-2026")</f>
        <v/>
      </c>
      <c r="AC25">
        <f>HYPERLINK("https://klasma.github.io/Logging_0126/tillsyn/A 31568-2026 tillsynsbegäran.docx", "A 31568-2026")</f>
        <v/>
      </c>
      <c r="AD25">
        <f>HYPERLINK("https://klasma.github.io/Logging_0126/tillsynsmail/A 31568-2026 tillsynsbegäran mail.docx", "A 31568-2026")</f>
        <v/>
      </c>
    </row>
    <row r="26" ht="15" customHeight="1">
      <c r="A26" t="inlineStr">
        <is>
          <t>A 27561-2025</t>
        </is>
      </c>
      <c r="B26" t="inlineStr">
        <is>
          <t>avverkningsanmälan</t>
        </is>
      </c>
      <c r="C26" t="inlineStr">
        <is>
          <t>Föryngringsavverkning</t>
        </is>
      </c>
      <c r="D26" s="1" t="n">
        <v>45813</v>
      </c>
      <c r="E26" s="1" t="n">
        <v>46271</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46271</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46271</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31246-2022</t>
        </is>
      </c>
      <c r="B29" t="inlineStr">
        <is>
          <t>avverkningsanmälan</t>
        </is>
      </c>
      <c r="C29" t="inlineStr">
        <is>
          <t>Avverkning för annat ändamål</t>
        </is>
      </c>
      <c r="D29" s="1" t="n">
        <v>44771</v>
      </c>
      <c r="E29" s="1" t="n">
        <v>46271</v>
      </c>
      <c r="F29" t="inlineStr">
        <is>
          <t>STOCKHOLMS LÄN</t>
        </is>
      </c>
      <c r="G29" t="inlineStr">
        <is>
          <t>HUDDINGE</t>
        </is>
      </c>
      <c r="I29" t="n">
        <v>4.3</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46271</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46271</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31650-2026</t>
        </is>
      </c>
      <c r="B32" t="inlineStr">
        <is>
          <t>avverkningsanmälan</t>
        </is>
      </c>
      <c r="C32" t="inlineStr">
        <is>
          <t>Avverkning för annat ändamål</t>
        </is>
      </c>
      <c r="D32" s="1" t="n">
        <v>46225</v>
      </c>
      <c r="E32" s="1" t="n">
        <v>46271</v>
      </c>
      <c r="F32" t="inlineStr">
        <is>
          <t>STOCKHOLMS LÄN</t>
        </is>
      </c>
      <c r="G32" t="inlineStr">
        <is>
          <t>HUDDINGE</t>
        </is>
      </c>
      <c r="H32" t="inlineStr">
        <is>
          <t>Kommuner</t>
        </is>
      </c>
      <c r="I32" t="n">
        <v>2.1</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2026-09-06T02:07:31Z</dcterms:created>
  <dcterms:modified xmlns:dcterms="http://purl.org/dc/terms/" xmlns:xsi="http://www.w3.org/2001/XMLSchema-instance" xsi:type="dcterms:W3CDTF">2026-09-06T02:07:31Z</dcterms:modified>
</cp:coreProperties>
</file>